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cmsmaroc-my.sharepoint.com/personal/yassine_merini_cmscompany_net/Documents/Bureau/"/>
    </mc:Choice>
  </mc:AlternateContent>
  <xr:revisionPtr revIDLastSave="36" documentId="8_{62B0E161-A369-5D4B-862C-BE48CB50EFE4}" xr6:coauthVersionLast="47" xr6:coauthVersionMax="47" xr10:uidLastSave="{FA2E7716-69E7-469D-A615-AC2717ECAA5D}"/>
  <bookViews>
    <workbookView xWindow="-108" yWindow="-108" windowWidth="23256" windowHeight="12456" activeTab="1" xr2:uid="{00000000-000D-0000-FFFF-FFFF00000000}"/>
  </bookViews>
  <sheets>
    <sheet name="Bloc details" sheetId="4" r:id="rId1"/>
    <sheet name="Suivi des Chambres" sheetId="1" r:id="rId2"/>
    <sheet name="Graphes SDB" sheetId="2" r:id="rId3"/>
    <sheet name="Graphes Chambre" sheetId="3" r:id="rId4"/>
  </sheets>
  <definedNames>
    <definedName name="_xlnm.Print_Area" localSheetId="0">'Bloc details'!$A$1:$L$24</definedName>
    <definedName name="_xlnm.Print_Area" localSheetId="3">'Graphes Chambre'!$A$1:$W$26</definedName>
    <definedName name="_xlnm.Print_Area" localSheetId="2">'Graphes SDB'!$A$1:$W$38</definedName>
  </definedNames>
  <calcPr calcId="191028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G4" i="2" s="1"/>
  <c r="R25" i="3"/>
  <c r="W25" i="3" s="1"/>
  <c r="R24" i="3"/>
  <c r="W24" i="3" s="1"/>
  <c r="R23" i="3"/>
  <c r="W23" i="3" s="1"/>
  <c r="R22" i="3"/>
  <c r="W22" i="3" s="1"/>
  <c r="J25" i="3"/>
  <c r="O25" i="3" s="1"/>
  <c r="J24" i="3"/>
  <c r="O24" i="3" s="1"/>
  <c r="J23" i="3"/>
  <c r="O23" i="3" s="1"/>
  <c r="J22" i="3"/>
  <c r="O22" i="3" s="1"/>
  <c r="B25" i="3"/>
  <c r="G25" i="3" s="1"/>
  <c r="R19" i="3"/>
  <c r="W19" i="3" s="1"/>
  <c r="B24" i="3"/>
  <c r="G24" i="3" s="1"/>
  <c r="R18" i="3"/>
  <c r="W18" i="3" s="1"/>
  <c r="B23" i="3"/>
  <c r="G23" i="3" s="1"/>
  <c r="R17" i="3"/>
  <c r="W17" i="3" s="1"/>
  <c r="B22" i="3"/>
  <c r="G22" i="3" s="1"/>
  <c r="R16" i="3"/>
  <c r="W16" i="3" s="1"/>
  <c r="J19" i="3"/>
  <c r="O19" i="3" s="1"/>
  <c r="B19" i="3"/>
  <c r="G19" i="3" s="1"/>
  <c r="J18" i="3"/>
  <c r="O18" i="3" s="1"/>
  <c r="B18" i="3"/>
  <c r="G18" i="3" s="1"/>
  <c r="J17" i="3"/>
  <c r="O17" i="3" s="1"/>
  <c r="B17" i="3"/>
  <c r="G17" i="3" s="1"/>
  <c r="J16" i="3"/>
  <c r="O16" i="3" s="1"/>
  <c r="B16" i="3"/>
  <c r="G16" i="3" s="1"/>
  <c r="R13" i="3"/>
  <c r="W13" i="3" s="1"/>
  <c r="J13" i="3"/>
  <c r="O13" i="3" s="1"/>
  <c r="R12" i="3"/>
  <c r="W12" i="3" s="1"/>
  <c r="J12" i="3"/>
  <c r="O12" i="3" s="1"/>
  <c r="R11" i="3"/>
  <c r="W11" i="3" s="1"/>
  <c r="J11" i="3"/>
  <c r="O11" i="3" s="1"/>
  <c r="R10" i="3"/>
  <c r="W10" i="3" s="1"/>
  <c r="J10" i="3"/>
  <c r="O10" i="3" s="1"/>
  <c r="B13" i="3"/>
  <c r="G13" i="3" s="1"/>
  <c r="R7" i="3"/>
  <c r="W7" i="3" s="1"/>
  <c r="B12" i="3"/>
  <c r="G12" i="3" s="1"/>
  <c r="R6" i="3"/>
  <c r="W6" i="3" s="1"/>
  <c r="B11" i="3"/>
  <c r="G11" i="3" s="1"/>
  <c r="R5" i="3"/>
  <c r="W5" i="3" s="1"/>
  <c r="B10" i="3"/>
  <c r="G10" i="3" s="1"/>
  <c r="R4" i="3"/>
  <c r="W4" i="3" s="1"/>
  <c r="J7" i="3"/>
  <c r="O7" i="3" s="1"/>
  <c r="B7" i="3"/>
  <c r="G7" i="3" s="1"/>
  <c r="J6" i="3"/>
  <c r="O6" i="3" s="1"/>
  <c r="B6" i="3"/>
  <c r="G6" i="3" s="1"/>
  <c r="J5" i="3"/>
  <c r="O5" i="3" s="1"/>
  <c r="B5" i="3"/>
  <c r="G5" i="3" s="1"/>
  <c r="J4" i="3"/>
  <c r="O4" i="3" s="1"/>
  <c r="B4" i="3"/>
  <c r="G4" i="3" s="1"/>
  <c r="J37" i="2"/>
  <c r="O37" i="2" s="1"/>
  <c r="J36" i="2"/>
  <c r="O36" i="2" s="1"/>
  <c r="J35" i="2"/>
  <c r="O35" i="2" s="1"/>
  <c r="J34" i="2"/>
  <c r="O34" i="2" s="1"/>
  <c r="B37" i="2"/>
  <c r="G37" i="2" s="1"/>
  <c r="R31" i="2"/>
  <c r="W31" i="2" s="1"/>
  <c r="B36" i="2"/>
  <c r="G36" i="2" s="1"/>
  <c r="R30" i="2"/>
  <c r="W30" i="2" s="1"/>
  <c r="B35" i="2"/>
  <c r="G35" i="2" s="1"/>
  <c r="R29" i="2"/>
  <c r="W29" i="2" s="1"/>
  <c r="B34" i="2"/>
  <c r="G34" i="2" s="1"/>
  <c r="R28" i="2"/>
  <c r="W28" i="2" s="1"/>
  <c r="J31" i="2"/>
  <c r="O31" i="2" s="1"/>
  <c r="B31" i="2"/>
  <c r="G31" i="2" s="1"/>
  <c r="J30" i="2"/>
  <c r="O30" i="2" s="1"/>
  <c r="B30" i="2"/>
  <c r="G30" i="2" s="1"/>
  <c r="J29" i="2"/>
  <c r="O29" i="2" s="1"/>
  <c r="B29" i="2"/>
  <c r="G29" i="2" s="1"/>
  <c r="J28" i="2"/>
  <c r="O28" i="2" s="1"/>
  <c r="B28" i="2"/>
  <c r="G28" i="2" s="1"/>
  <c r="R25" i="2"/>
  <c r="W25" i="2" s="1"/>
  <c r="J25" i="2"/>
  <c r="O25" i="2" s="1"/>
  <c r="R24" i="2"/>
  <c r="W24" i="2" s="1"/>
  <c r="J24" i="2"/>
  <c r="O24" i="2" s="1"/>
  <c r="R23" i="2"/>
  <c r="W23" i="2" s="1"/>
  <c r="J23" i="2"/>
  <c r="O23" i="2" s="1"/>
  <c r="R22" i="2"/>
  <c r="W22" i="2" s="1"/>
  <c r="J22" i="2"/>
  <c r="O22" i="2" s="1"/>
  <c r="B25" i="2"/>
  <c r="G25" i="2" s="1"/>
  <c r="R19" i="2"/>
  <c r="W19" i="2" s="1"/>
  <c r="B24" i="2"/>
  <c r="G24" i="2" s="1"/>
  <c r="R18" i="2"/>
  <c r="W18" i="2" s="1"/>
  <c r="B23" i="2"/>
  <c r="G23" i="2" s="1"/>
  <c r="R17" i="2"/>
  <c r="W17" i="2" s="1"/>
  <c r="B22" i="2"/>
  <c r="G22" i="2" s="1"/>
  <c r="R16" i="2"/>
  <c r="W16" i="2" s="1"/>
  <c r="J19" i="2"/>
  <c r="O19" i="2" s="1"/>
  <c r="B19" i="2"/>
  <c r="G19" i="2" s="1"/>
  <c r="J18" i="2"/>
  <c r="O18" i="2" s="1"/>
  <c r="B18" i="2"/>
  <c r="G18" i="2" s="1"/>
  <c r="J17" i="2"/>
  <c r="O17" i="2" s="1"/>
  <c r="B17" i="2"/>
  <c r="G17" i="2" s="1"/>
  <c r="J16" i="2"/>
  <c r="O16" i="2" s="1"/>
  <c r="B16" i="2"/>
  <c r="G16" i="2" s="1"/>
  <c r="R13" i="2"/>
  <c r="W13" i="2" s="1"/>
  <c r="J13" i="2"/>
  <c r="O13" i="2" s="1"/>
  <c r="R12" i="2"/>
  <c r="W12" i="2" s="1"/>
  <c r="J12" i="2"/>
  <c r="O12" i="2" s="1"/>
  <c r="R11" i="2"/>
  <c r="W11" i="2" s="1"/>
  <c r="J11" i="2"/>
  <c r="O11" i="2" s="1"/>
  <c r="R10" i="2"/>
  <c r="W10" i="2" s="1"/>
  <c r="J10" i="2"/>
  <c r="O10" i="2" s="1"/>
  <c r="B13" i="2"/>
  <c r="G13" i="2" s="1"/>
  <c r="R7" i="2"/>
  <c r="W7" i="2" s="1"/>
  <c r="B12" i="2"/>
  <c r="G12" i="2" s="1"/>
  <c r="R6" i="2"/>
  <c r="W6" i="2" s="1"/>
  <c r="B11" i="2"/>
  <c r="G11" i="2" s="1"/>
  <c r="R5" i="2"/>
  <c r="W5" i="2" s="1"/>
  <c r="B10" i="2"/>
  <c r="G10" i="2" s="1"/>
  <c r="R4" i="2"/>
  <c r="W4" i="2" s="1"/>
  <c r="J7" i="2"/>
  <c r="O7" i="2" s="1"/>
  <c r="B7" i="2"/>
  <c r="G7" i="2" s="1"/>
  <c r="J6" i="2"/>
  <c r="O6" i="2" s="1"/>
  <c r="B6" i="2"/>
  <c r="G6" i="2" s="1"/>
  <c r="J5" i="2"/>
  <c r="O5" i="2" s="1"/>
  <c r="B5" i="2"/>
  <c r="G5" i="2" s="1"/>
  <c r="J4" i="2"/>
  <c r="O4" i="2" s="1"/>
  <c r="BT1" i="1"/>
  <c r="BS1" i="1"/>
  <c r="BR1" i="1"/>
  <c r="BQ1" i="1"/>
  <c r="BP1" i="1"/>
  <c r="BO1" i="1"/>
  <c r="BN1" i="1"/>
  <c r="BM1" i="1"/>
  <c r="BL1" i="1"/>
  <c r="BK1" i="1"/>
  <c r="BJ1" i="1"/>
  <c r="BI1" i="1"/>
  <c r="BH1" i="1"/>
  <c r="BG1" i="1"/>
  <c r="BF1" i="1"/>
  <c r="BE1" i="1"/>
  <c r="BD1" i="1"/>
  <c r="BC1" i="1"/>
  <c r="BB1" i="1"/>
  <c r="BA1" i="1"/>
  <c r="AZ1" i="1"/>
  <c r="AY1" i="1"/>
  <c r="AX1" i="1"/>
  <c r="AW1" i="1"/>
  <c r="AV1" i="1"/>
  <c r="AU1" i="1"/>
  <c r="AT1" i="1"/>
  <c r="AS1" i="1"/>
  <c r="AR1" i="1"/>
  <c r="AQ1" i="1"/>
  <c r="AP1" i="1"/>
  <c r="AO1" i="1"/>
  <c r="AN1" i="1"/>
  <c r="AM1" i="1"/>
  <c r="AL1" i="1"/>
  <c r="AK1" i="1"/>
  <c r="AJ1" i="1"/>
  <c r="AI1" i="1"/>
  <c r="AH1" i="1"/>
  <c r="AG1" i="1"/>
  <c r="AF1" i="1"/>
  <c r="AE1" i="1"/>
  <c r="AD1" i="1"/>
  <c r="AC1" i="1"/>
  <c r="AB1" i="1"/>
  <c r="AA1" i="1"/>
  <c r="Z1" i="1"/>
  <c r="Y1" i="1"/>
  <c r="X1" i="1"/>
  <c r="W1" i="1"/>
  <c r="V1" i="1"/>
  <c r="U1" i="1"/>
  <c r="T1" i="1"/>
  <c r="S1" i="1"/>
  <c r="R1" i="1"/>
  <c r="Q1" i="1"/>
  <c r="P1" i="1"/>
  <c r="O1" i="1"/>
  <c r="N1" i="1"/>
  <c r="M1" i="1"/>
  <c r="L1" i="1"/>
  <c r="K1" i="1"/>
  <c r="J1" i="1"/>
  <c r="I1" i="1"/>
  <c r="H1" i="1"/>
  <c r="G1" i="1"/>
  <c r="F1" i="1"/>
  <c r="E1" i="1"/>
</calcChain>
</file>

<file path=xl/sharedStrings.xml><?xml version="1.0" encoding="utf-8"?>
<sst xmlns="http://schemas.openxmlformats.org/spreadsheetml/2006/main" count="1731" uniqueCount="130">
  <si>
    <t>Avancement global</t>
  </si>
  <si>
    <t>IDENTIFICATION</t>
  </si>
  <si>
    <t>SDB</t>
  </si>
  <si>
    <t>CHAMBRE</t>
  </si>
  <si>
    <t>Plomberie sol</t>
  </si>
  <si>
    <t>Cloisons</t>
  </si>
  <si>
    <t>Électricité cloisons</t>
  </si>
  <si>
    <t>Étanchéité</t>
  </si>
  <si>
    <t>Dressage</t>
  </si>
  <si>
    <t>Chape</t>
  </si>
  <si>
    <t>Faux plafond SDB</t>
  </si>
  <si>
    <t>Peinture FP</t>
  </si>
  <si>
    <t>Revêtement mural</t>
  </si>
  <si>
    <t>Revêtement sol</t>
  </si>
  <si>
    <t>Menuiserie alu</t>
  </si>
  <si>
    <t>Menuiserie bois</t>
  </si>
  <si>
    <t>Agencement</t>
  </si>
  <si>
    <t>Sanitaires</t>
  </si>
  <si>
    <t>Accessoires</t>
  </si>
  <si>
    <t>Tests</t>
  </si>
  <si>
    <t>Réception</t>
  </si>
  <si>
    <t xml:space="preserve">Chape  </t>
  </si>
  <si>
    <t>Faux plafond chambre</t>
  </si>
  <si>
    <t>Peinture</t>
  </si>
  <si>
    <t>Agencement fixe</t>
  </si>
  <si>
    <t>Appareillage</t>
  </si>
  <si>
    <t>LOGGIA</t>
  </si>
  <si>
    <t>Étage</t>
  </si>
  <si>
    <t>Bloc</t>
  </si>
  <si>
    <t>Type chambre</t>
  </si>
  <si>
    <t>N Chambre</t>
  </si>
  <si>
    <t>Passage EF/EC</t>
  </si>
  <si>
    <t>Passage évacuations</t>
  </si>
  <si>
    <t>Bon à etanché plomberie sol</t>
  </si>
  <si>
    <t>Cloisons SDB posées</t>
  </si>
  <si>
    <t>Passage électricité cloisons</t>
  </si>
  <si>
    <t>Bon à enduire électricité cloisons</t>
  </si>
  <si>
    <t>calfeutrement</t>
  </si>
  <si>
    <t>Étanchéité SDB</t>
  </si>
  <si>
    <t>Test mise en eau</t>
  </si>
  <si>
    <t>PV test mise en eau</t>
  </si>
  <si>
    <t>Dressage mur</t>
  </si>
  <si>
    <t>Chape / forme de pente</t>
  </si>
  <si>
    <t>Structure faux plafond</t>
  </si>
  <si>
    <t>Réseaux électricité plafond</t>
  </si>
  <si>
    <t>Réseaux clim / ventilation</t>
  </si>
  <si>
    <t>Bon à fermer faux plafond</t>
  </si>
  <si>
    <t>Fermeture faux plafond</t>
  </si>
  <si>
    <t>Finition faux plafond</t>
  </si>
  <si>
    <t>Peinture faux plafond</t>
  </si>
  <si>
    <t>Pose revêtement toilette</t>
  </si>
  <si>
    <t>Pose revêtement douche</t>
  </si>
  <si>
    <t>Pose revêtement sol</t>
  </si>
  <si>
    <t>Faux cadres alu</t>
  </si>
  <si>
    <t>Pose châssis / cabine douche / cabine WC</t>
  </si>
  <si>
    <t>Rail porte coulissante</t>
  </si>
  <si>
    <t>Fermeture cloison porte coulissante</t>
  </si>
  <si>
    <t>Pose vanity</t>
  </si>
  <si>
    <t>Pose sanitaires / robinetterie</t>
  </si>
  <si>
    <t>Pose accessoires SDB</t>
  </si>
  <si>
    <t>Essais plomberie</t>
  </si>
  <si>
    <t>Essais électricité</t>
  </si>
  <si>
    <t>Essais CVC</t>
  </si>
  <si>
    <t>Finitions SDB</t>
  </si>
  <si>
    <t>Réception interne SDB</t>
  </si>
  <si>
    <t>Cloisons chambre</t>
  </si>
  <si>
    <t>Calfeutrement</t>
  </si>
  <si>
    <t>Chape chambre</t>
  </si>
  <si>
    <t>Réseaux sprinklage / détection</t>
  </si>
  <si>
    <t>Réseaux clim</t>
  </si>
  <si>
    <t>Faux cadres porte entrée</t>
  </si>
  <si>
    <t>Pose porte entrée</t>
  </si>
  <si>
    <t>Pose porte SDB</t>
  </si>
  <si>
    <t>Enduit 1ère couche</t>
  </si>
  <si>
    <t>Enduit 2ème couche</t>
  </si>
  <si>
    <t>Peinture 1ère couche</t>
  </si>
  <si>
    <t>Peinture 2ème couche</t>
  </si>
  <si>
    <t>Pose sol fini</t>
  </si>
  <si>
    <t>Pose plinthes</t>
  </si>
  <si>
    <t>Armoire / bar</t>
  </si>
  <si>
    <t>Tête de lit</t>
  </si>
  <si>
    <t>Meuble TV / bureau</t>
  </si>
  <si>
    <t>Appareillage électrique</t>
  </si>
  <si>
    <t>Luminaires / liseuses</t>
  </si>
  <si>
    <t>Essais climatisation</t>
  </si>
  <si>
    <t>Essais serrure carte</t>
  </si>
  <si>
    <t xml:space="preserve">Pose faux cadres </t>
  </si>
  <si>
    <t xml:space="preserve">Pose menuiserie </t>
  </si>
  <si>
    <t>R+2</t>
  </si>
  <si>
    <t>Bloc A</t>
  </si>
  <si>
    <t>Standard</t>
  </si>
  <si>
    <t>Junior</t>
  </si>
  <si>
    <t>Bloc B</t>
  </si>
  <si>
    <t>Executive</t>
  </si>
  <si>
    <t>Bloc C</t>
  </si>
  <si>
    <t>R+3</t>
  </si>
  <si>
    <t>R+4</t>
  </si>
  <si>
    <t>R+5</t>
  </si>
  <si>
    <t>GRAPHES SDB</t>
  </si>
  <si>
    <t>PLOMBERIE SOL</t>
  </si>
  <si>
    <t>CLOISONS</t>
  </si>
  <si>
    <t>ÉLECTRICITÉ CLOISONS</t>
  </si>
  <si>
    <t>ÉTANCHÉITÉ</t>
  </si>
  <si>
    <t>DRESSAGE</t>
  </si>
  <si>
    <t>CHAPE</t>
  </si>
  <si>
    <t>FAUX PLAFOND SDB</t>
  </si>
  <si>
    <t>PEINTURE FP</t>
  </si>
  <si>
    <t>REVÊTEMENT MURAL</t>
  </si>
  <si>
    <t>REVÊTEMENT SOL</t>
  </si>
  <si>
    <t>MENUISERIE ALU</t>
  </si>
  <si>
    <t>MENUISERIE BOIS</t>
  </si>
  <si>
    <t>AGENCEMENT</t>
  </si>
  <si>
    <t>SANITAIRES</t>
  </si>
  <si>
    <t>ACCESSOIRES</t>
  </si>
  <si>
    <t>TESTS</t>
  </si>
  <si>
    <t>RÉCEPTION</t>
  </si>
  <si>
    <t>GRAPHES CHAMBRE</t>
  </si>
  <si>
    <t>FAUX PLAFOND CHAMBRE</t>
  </si>
  <si>
    <t>PEINTURE</t>
  </si>
  <si>
    <t>AGENCEMENT FIXE</t>
  </si>
  <si>
    <t>APPAREILLAGE</t>
  </si>
  <si>
    <t xml:space="preserve">LOGGIA </t>
  </si>
  <si>
    <t>A demander</t>
  </si>
  <si>
    <t xml:space="preserve">Trappe de visite </t>
  </si>
  <si>
    <t>Pose  fenêtres</t>
  </si>
  <si>
    <t>À demander</t>
  </si>
  <si>
    <t>Pose faux plafond</t>
  </si>
  <si>
    <t xml:space="preserve">Bande sur ba13 oui </t>
  </si>
  <si>
    <t>Je sais pas</t>
  </si>
  <si>
    <t xml:space="preserve">À demander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</si>
</sst>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  <font>
      <b/>
      <sz val="18"/>
      <color theme="1"/>
      <name val="Calibri"/>
      <family val="2"/>
    </font>
    <font>
      <sz val="10"/>
      <color rgb="FF1F2937"/>
      <name val="Arial"/>
      <family val="2"/>
    </font>
    <font>
      <b/>
      <sz val="10"/>
      <color rgb="FFFFFFFF"/>
      <name val="Arial"/>
      <family val="2"/>
    </font>
    <font>
      <b/>
      <sz val="11"/>
      <color rgb="FFFFFFFF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2"/>
      <color rgb="FF1F4E79"/>
      <name val="Arial"/>
      <family val="2"/>
    </font>
    <font>
      <b/>
      <sz val="18"/>
      <name val="Arial"/>
      <family val="2"/>
    </font>
    <font>
      <b/>
      <sz val="16"/>
      <color rgb="FFFFFFFF"/>
      <name val="Arial"/>
      <family val="2"/>
    </font>
    <font>
      <b/>
      <sz val="12"/>
      <color rgb="FF1F4E79"/>
      <name val="Arial"/>
      <family val="2"/>
    </font>
    <font>
      <b/>
      <sz val="9"/>
      <color rgb="FF555555"/>
      <name val="Arial"/>
      <family val="2"/>
    </font>
    <font>
      <sz val="1"/>
      <color rgb="FFFFFFFF"/>
      <name val="Arial"/>
      <family val="2"/>
    </font>
    <font>
      <b/>
      <sz val="9"/>
      <color rgb="FF333333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rgb="FF1F1F1F"/>
      </patternFill>
    </fill>
    <fill>
      <patternFill patternType="solid">
        <fgColor rgb="FF404040"/>
      </patternFill>
    </fill>
    <fill>
      <patternFill patternType="solid">
        <fgColor rgb="FF006D77"/>
      </patternFill>
    </fill>
    <fill>
      <patternFill patternType="solid">
        <fgColor rgb="FF1F4E79"/>
      </patternFill>
    </fill>
    <fill>
      <patternFill patternType="solid">
        <fgColor rgb="FFCFE9E8"/>
      </patternFill>
    </fill>
    <fill>
      <patternFill patternType="solid">
        <fgColor rgb="FFD9EAF7"/>
      </patternFill>
    </fill>
    <fill>
      <patternFill patternType="solid">
        <fgColor rgb="FFF2F2F2"/>
      </patternFill>
    </fill>
    <fill>
      <patternFill patternType="solid">
        <fgColor rgb="FFE2F0D9"/>
      </patternFill>
    </fill>
    <fill>
      <patternFill patternType="solid">
        <fgColor rgb="FFF4D9F7"/>
      </patternFill>
    </fill>
    <fill>
      <patternFill patternType="solid">
        <fgColor rgb="FFD9D9D9"/>
      </patternFill>
    </fill>
    <fill>
      <patternFill patternType="solid">
        <fgColor rgb="FF1F4E79"/>
      </patternFill>
    </fill>
    <fill>
      <patternFill patternType="solid">
        <fgColor rgb="FF006D77"/>
      </patternFill>
    </fill>
    <fill>
      <patternFill patternType="solid">
        <fgColor rgb="FFD9EAF7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medium">
        <color indexed="64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indexed="64"/>
      </left>
      <right style="thin">
        <color rgb="FFD9D9D9"/>
      </right>
      <top style="medium">
        <color indexed="64"/>
      </top>
      <bottom style="thin">
        <color rgb="FFD9D9D9"/>
      </bottom>
      <diagonal/>
    </border>
    <border>
      <left style="medium">
        <color indexed="64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medium">
        <color indexed="64"/>
      </right>
      <top style="thin">
        <color rgb="FFD9D9D9"/>
      </top>
      <bottom style="thin">
        <color rgb="FFD9D9D9"/>
      </bottom>
      <diagonal/>
    </border>
    <border>
      <left style="medium">
        <color indexed="64"/>
      </left>
      <right style="thin">
        <color rgb="FFD9D9D9"/>
      </right>
      <top style="thin">
        <color rgb="FFD9D9D9"/>
      </top>
      <bottom style="medium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indexed="64"/>
      </bottom>
      <diagonal/>
    </border>
    <border>
      <left/>
      <right/>
      <top style="thin">
        <color rgb="FFD9D9D9"/>
      </top>
      <bottom style="medium">
        <color indexed="64"/>
      </bottom>
      <diagonal/>
    </border>
    <border>
      <left/>
      <right style="thin">
        <color rgb="FFD9D9D9"/>
      </right>
      <top style="thin">
        <color rgb="FFD9D9D9"/>
      </top>
      <bottom style="medium">
        <color indexed="64"/>
      </bottom>
      <diagonal/>
    </border>
    <border>
      <left style="thin">
        <color rgb="FFD9D9D9"/>
      </left>
      <right style="medium">
        <color indexed="64"/>
      </right>
      <top style="thin">
        <color rgb="FFD9D9D9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rgb="FFD9D9D9"/>
      </bottom>
      <diagonal/>
    </border>
    <border>
      <left/>
      <right style="medium">
        <color indexed="64"/>
      </right>
      <top style="medium">
        <color indexed="64"/>
      </top>
      <bottom style="thin">
        <color rgb="FFD9D9D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9" fontId="2" fillId="0" borderId="0"/>
    <xf numFmtId="0" fontId="2" fillId="0" borderId="0"/>
    <xf numFmtId="0" fontId="1" fillId="0" borderId="0"/>
  </cellStyleXfs>
  <cellXfs count="94">
    <xf numFmtId="0" fontId="0" fillId="0" borderId="0" xfId="0"/>
    <xf numFmtId="0" fontId="2" fillId="0" borderId="0" xfId="2"/>
    <xf numFmtId="0" fontId="3" fillId="0" borderId="0" xfId="2" applyFont="1" applyAlignment="1">
      <alignment horizontal="center" vertical="center"/>
    </xf>
    <xf numFmtId="9" fontId="6" fillId="3" borderId="11" xfId="0" applyNumberFormat="1" applyFont="1" applyFill="1" applyBorder="1" applyAlignment="1">
      <alignment horizontal="center" vertical="center"/>
    </xf>
    <xf numFmtId="9" fontId="8" fillId="7" borderId="11" xfId="1" applyFont="1" applyFill="1" applyBorder="1" applyAlignment="1">
      <alignment horizontal="center" vertical="center" wrapText="1"/>
    </xf>
    <xf numFmtId="0" fontId="8" fillId="8" borderId="11" xfId="0" applyFont="1" applyFill="1" applyBorder="1" applyAlignment="1">
      <alignment horizontal="center" vertical="center" wrapText="1"/>
    </xf>
    <xf numFmtId="0" fontId="9" fillId="9" borderId="11" xfId="2" applyFont="1" applyFill="1" applyBorder="1" applyAlignment="1">
      <alignment horizontal="center" vertical="center" wrapText="1"/>
    </xf>
    <xf numFmtId="0" fontId="9" fillId="9" borderId="11" xfId="0" applyFont="1" applyFill="1" applyBorder="1" applyAlignment="1">
      <alignment horizontal="center" vertical="center" wrapText="1"/>
    </xf>
    <xf numFmtId="0" fontId="5" fillId="8" borderId="11" xfId="2" applyFont="1" applyFill="1" applyBorder="1" applyAlignment="1">
      <alignment horizontal="center" vertical="center" wrapText="1"/>
    </xf>
    <xf numFmtId="9" fontId="5" fillId="8" borderId="11" xfId="2" applyNumberFormat="1" applyFont="1" applyFill="1" applyBorder="1" applyAlignment="1">
      <alignment horizontal="center" vertical="center"/>
    </xf>
    <xf numFmtId="9" fontId="5" fillId="8" borderId="11" xfId="0" applyNumberFormat="1" applyFont="1" applyFill="1" applyBorder="1" applyAlignment="1">
      <alignment horizontal="center" vertical="center"/>
    </xf>
    <xf numFmtId="9" fontId="0" fillId="8" borderId="11" xfId="0" applyNumberFormat="1" applyFill="1" applyBorder="1" applyAlignment="1">
      <alignment horizontal="center" vertical="center"/>
    </xf>
    <xf numFmtId="9" fontId="5" fillId="8" borderId="11" xfId="1" applyFont="1" applyFill="1" applyBorder="1" applyAlignment="1">
      <alignment horizontal="center" vertical="center"/>
    </xf>
    <xf numFmtId="0" fontId="5" fillId="10" borderId="11" xfId="2" applyFont="1" applyFill="1" applyBorder="1" applyAlignment="1">
      <alignment horizontal="center" vertical="center" wrapText="1"/>
    </xf>
    <xf numFmtId="9" fontId="5" fillId="10" borderId="11" xfId="1" applyFont="1" applyFill="1" applyBorder="1" applyAlignment="1">
      <alignment horizontal="center" vertical="center"/>
    </xf>
    <xf numFmtId="9" fontId="5" fillId="10" borderId="11" xfId="0" applyNumberFormat="1" applyFont="1" applyFill="1" applyBorder="1" applyAlignment="1">
      <alignment horizontal="center" vertical="center"/>
    </xf>
    <xf numFmtId="9" fontId="0" fillId="10" borderId="11" xfId="0" applyNumberFormat="1" applyFill="1" applyBorder="1" applyAlignment="1">
      <alignment horizontal="center" vertical="center"/>
    </xf>
    <xf numFmtId="0" fontId="5" fillId="11" borderId="11" xfId="2" applyFont="1" applyFill="1" applyBorder="1" applyAlignment="1">
      <alignment horizontal="center" vertical="center" wrapText="1"/>
    </xf>
    <xf numFmtId="9" fontId="5" fillId="11" borderId="11" xfId="1" applyFont="1" applyFill="1" applyBorder="1" applyAlignment="1">
      <alignment horizontal="center" vertical="center"/>
    </xf>
    <xf numFmtId="9" fontId="5" fillId="11" borderId="11" xfId="0" applyNumberFormat="1" applyFont="1" applyFill="1" applyBorder="1" applyAlignment="1">
      <alignment horizontal="center" vertical="center"/>
    </xf>
    <xf numFmtId="9" fontId="0" fillId="11" borderId="11" xfId="0" applyNumberFormat="1" applyFill="1" applyBorder="1" applyAlignment="1">
      <alignment horizontal="center" vertical="center"/>
    </xf>
    <xf numFmtId="9" fontId="6" fillId="3" borderId="8" xfId="0" applyNumberFormat="1" applyFont="1" applyFill="1" applyBorder="1" applyAlignment="1">
      <alignment horizontal="center" vertical="center"/>
    </xf>
    <xf numFmtId="9" fontId="6" fillId="3" borderId="9" xfId="0" applyNumberFormat="1" applyFont="1" applyFill="1" applyBorder="1" applyAlignment="1">
      <alignment horizontal="center" vertical="center"/>
    </xf>
    <xf numFmtId="9" fontId="6" fillId="3" borderId="10" xfId="0" applyNumberFormat="1" applyFont="1" applyFill="1" applyBorder="1" applyAlignment="1">
      <alignment horizontal="center" vertical="center"/>
    </xf>
    <xf numFmtId="9" fontId="8" fillId="8" borderId="3" xfId="1" applyFont="1" applyFill="1" applyBorder="1" applyAlignment="1">
      <alignment horizontal="center" vertical="center" wrapText="1"/>
    </xf>
    <xf numFmtId="0" fontId="9" fillId="9" borderId="3" xfId="0" applyFont="1" applyFill="1" applyBorder="1" applyAlignment="1">
      <alignment horizontal="center" vertical="center" wrapText="1"/>
    </xf>
    <xf numFmtId="0" fontId="9" fillId="9" borderId="4" xfId="0" applyFont="1" applyFill="1" applyBorder="1" applyAlignment="1">
      <alignment horizontal="center" vertical="center" wrapText="1"/>
    </xf>
    <xf numFmtId="9" fontId="5" fillId="8" borderId="3" xfId="2" applyNumberFormat="1" applyFont="1" applyFill="1" applyBorder="1" applyAlignment="1">
      <alignment horizontal="center" vertical="center"/>
    </xf>
    <xf numFmtId="9" fontId="5" fillId="8" borderId="4" xfId="0" applyNumberFormat="1" applyFont="1" applyFill="1" applyBorder="1" applyAlignment="1">
      <alignment horizontal="center" vertical="center"/>
    </xf>
    <xf numFmtId="9" fontId="5" fillId="8" borderId="3" xfId="1" applyFont="1" applyFill="1" applyBorder="1" applyAlignment="1">
      <alignment horizontal="center" vertical="center"/>
    </xf>
    <xf numFmtId="9" fontId="5" fillId="10" borderId="3" xfId="1" applyFont="1" applyFill="1" applyBorder="1" applyAlignment="1">
      <alignment horizontal="center" vertical="center"/>
    </xf>
    <xf numFmtId="9" fontId="5" fillId="10" borderId="4" xfId="0" applyNumberFormat="1" applyFont="1" applyFill="1" applyBorder="1" applyAlignment="1">
      <alignment horizontal="center" vertical="center"/>
    </xf>
    <xf numFmtId="9" fontId="5" fillId="11" borderId="3" xfId="1" applyFont="1" applyFill="1" applyBorder="1" applyAlignment="1">
      <alignment horizontal="center" vertical="center"/>
    </xf>
    <xf numFmtId="9" fontId="5" fillId="11" borderId="4" xfId="0" applyNumberFormat="1" applyFont="1" applyFill="1" applyBorder="1" applyAlignment="1">
      <alignment horizontal="center" vertical="center"/>
    </xf>
    <xf numFmtId="9" fontId="5" fillId="8" borderId="3" xfId="0" applyNumberFormat="1" applyFont="1" applyFill="1" applyBorder="1" applyAlignment="1">
      <alignment horizontal="center" vertical="center"/>
    </xf>
    <xf numFmtId="9" fontId="5" fillId="10" borderId="3" xfId="0" applyNumberFormat="1" applyFont="1" applyFill="1" applyBorder="1" applyAlignment="1">
      <alignment horizontal="center" vertical="center"/>
    </xf>
    <xf numFmtId="9" fontId="5" fillId="11" borderId="3" xfId="0" applyNumberFormat="1" applyFont="1" applyFill="1" applyBorder="1" applyAlignment="1">
      <alignment horizontal="center" vertical="center"/>
    </xf>
    <xf numFmtId="9" fontId="5" fillId="10" borderId="5" xfId="0" applyNumberFormat="1" applyFont="1" applyFill="1" applyBorder="1" applyAlignment="1">
      <alignment horizontal="center" vertical="center"/>
    </xf>
    <xf numFmtId="9" fontId="5" fillId="10" borderId="6" xfId="0" applyNumberFormat="1" applyFont="1" applyFill="1" applyBorder="1" applyAlignment="1">
      <alignment horizontal="center" vertical="center"/>
    </xf>
    <xf numFmtId="9" fontId="0" fillId="10" borderId="6" xfId="0" applyNumberFormat="1" applyFill="1" applyBorder="1" applyAlignment="1">
      <alignment horizontal="center" vertical="center"/>
    </xf>
    <xf numFmtId="9" fontId="5" fillId="10" borderId="7" xfId="0" applyNumberFormat="1" applyFont="1" applyFill="1" applyBorder="1" applyAlignment="1">
      <alignment horizontal="center" vertical="center"/>
    </xf>
    <xf numFmtId="0" fontId="5" fillId="8" borderId="2" xfId="2" applyFont="1" applyFill="1" applyBorder="1" applyAlignment="1">
      <alignment horizontal="center" vertical="center" wrapText="1"/>
    </xf>
    <xf numFmtId="0" fontId="5" fillId="10" borderId="2" xfId="2" applyFont="1" applyFill="1" applyBorder="1" applyAlignment="1">
      <alignment horizontal="center" vertical="center" wrapText="1"/>
    </xf>
    <xf numFmtId="0" fontId="5" fillId="11" borderId="2" xfId="2" applyFont="1" applyFill="1" applyBorder="1" applyAlignment="1">
      <alignment horizontal="center" vertical="center" wrapText="1"/>
    </xf>
    <xf numFmtId="0" fontId="9" fillId="9" borderId="14" xfId="2" applyFont="1" applyFill="1" applyBorder="1" applyAlignment="1">
      <alignment horizontal="center" vertical="center" wrapText="1"/>
    </xf>
    <xf numFmtId="0" fontId="5" fillId="15" borderId="2" xfId="2" applyFont="1" applyFill="1" applyBorder="1" applyAlignment="1">
      <alignment horizontal="center" vertical="center" wrapText="1"/>
    </xf>
    <xf numFmtId="0" fontId="5" fillId="15" borderId="11" xfId="2" applyFont="1" applyFill="1" applyBorder="1" applyAlignment="1">
      <alignment horizontal="center" vertical="center" wrapText="1"/>
    </xf>
    <xf numFmtId="9" fontId="5" fillId="15" borderId="11" xfId="1" applyFont="1" applyFill="1" applyBorder="1" applyAlignment="1">
      <alignment horizontal="center" vertical="center"/>
    </xf>
    <xf numFmtId="9" fontId="5" fillId="15" borderId="3" xfId="1" applyFont="1" applyFill="1" applyBorder="1" applyAlignment="1">
      <alignment horizontal="center" vertical="center"/>
    </xf>
    <xf numFmtId="9" fontId="5" fillId="15" borderId="11" xfId="0" applyNumberFormat="1" applyFont="1" applyFill="1" applyBorder="1" applyAlignment="1">
      <alignment horizontal="center" vertical="center"/>
    </xf>
    <xf numFmtId="9" fontId="0" fillId="15" borderId="11" xfId="0" applyNumberFormat="1" applyFill="1" applyBorder="1" applyAlignment="1">
      <alignment horizontal="center" vertical="center"/>
    </xf>
    <xf numFmtId="9" fontId="5" fillId="15" borderId="4" xfId="0" applyNumberFormat="1" applyFont="1" applyFill="1" applyBorder="1" applyAlignment="1">
      <alignment horizontal="center" vertical="center"/>
    </xf>
    <xf numFmtId="9" fontId="5" fillId="15" borderId="3" xfId="0" applyNumberFormat="1" applyFont="1" applyFill="1" applyBorder="1" applyAlignment="1">
      <alignment horizontal="center" vertical="center"/>
    </xf>
    <xf numFmtId="0" fontId="1" fillId="16" borderId="0" xfId="3" applyFill="1"/>
    <xf numFmtId="0" fontId="0" fillId="16" borderId="0" xfId="0" applyFill="1"/>
    <xf numFmtId="0" fontId="0" fillId="0" borderId="0" xfId="0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0" fillId="16" borderId="0" xfId="0" applyFill="1" applyAlignment="1">
      <alignment horizontal="center" vertical="center"/>
    </xf>
    <xf numFmtId="9" fontId="16" fillId="0" borderId="23" xfId="0" applyNumberFormat="1" applyFont="1" applyBorder="1" applyAlignment="1">
      <alignment horizontal="center" vertical="center"/>
    </xf>
    <xf numFmtId="9" fontId="16" fillId="0" borderId="28" xfId="0" applyNumberFormat="1" applyFont="1" applyBorder="1" applyAlignment="1">
      <alignment horizontal="center" vertical="center"/>
    </xf>
    <xf numFmtId="9" fontId="8" fillId="7" borderId="11" xfId="1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1" xfId="0" applyBorder="1"/>
    <xf numFmtId="0" fontId="11" fillId="2" borderId="31" xfId="0" applyFont="1" applyFill="1" applyBorder="1" applyAlignment="1">
      <alignment horizontal="center" vertical="center" textRotation="90"/>
    </xf>
    <xf numFmtId="0" fontId="11" fillId="2" borderId="16" xfId="0" applyFont="1" applyFill="1" applyBorder="1" applyAlignment="1">
      <alignment horizontal="center" vertical="center" textRotation="90"/>
    </xf>
    <xf numFmtId="0" fontId="11" fillId="2" borderId="32" xfId="0" applyFont="1" applyFill="1" applyBorder="1" applyAlignment="1">
      <alignment horizontal="center" vertical="center" textRotation="90"/>
    </xf>
    <xf numFmtId="0" fontId="8" fillId="8" borderId="11" xfId="0" applyFont="1" applyFill="1" applyBorder="1" applyAlignment="1">
      <alignment horizontal="center" vertical="center" wrapText="1"/>
    </xf>
    <xf numFmtId="9" fontId="6" fillId="3" borderId="11" xfId="0" applyNumberFormat="1" applyFont="1" applyFill="1" applyBorder="1" applyAlignment="1">
      <alignment horizontal="center" vertical="center"/>
    </xf>
    <xf numFmtId="0" fontId="11" fillId="2" borderId="15" xfId="0" applyFont="1" applyFill="1" applyBorder="1" applyAlignment="1">
      <alignment horizontal="center" vertical="center" textRotation="90"/>
    </xf>
    <xf numFmtId="0" fontId="0" fillId="0" borderId="16" xfId="0" applyBorder="1" applyAlignment="1">
      <alignment textRotation="90"/>
    </xf>
    <xf numFmtId="0" fontId="0" fillId="0" borderId="17" xfId="0" applyBorder="1" applyAlignment="1">
      <alignment textRotation="90"/>
    </xf>
    <xf numFmtId="9" fontId="7" fillId="5" borderId="11" xfId="1" applyFont="1" applyFill="1" applyBorder="1" applyAlignment="1">
      <alignment horizontal="center" vertical="center"/>
    </xf>
    <xf numFmtId="9" fontId="7" fillId="6" borderId="17" xfId="1" applyFont="1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0" fontId="4" fillId="2" borderId="11" xfId="2" applyFont="1" applyFill="1" applyBorder="1" applyAlignment="1">
      <alignment horizontal="center" vertical="center"/>
    </xf>
    <xf numFmtId="0" fontId="7" fillId="4" borderId="11" xfId="2" applyFont="1" applyFill="1" applyBorder="1" applyAlignment="1">
      <alignment horizontal="center" vertical="center"/>
    </xf>
    <xf numFmtId="9" fontId="8" fillId="8" borderId="11" xfId="1" applyFont="1" applyFill="1" applyBorder="1" applyAlignment="1">
      <alignment horizontal="center" vertical="center" wrapText="1"/>
    </xf>
    <xf numFmtId="0" fontId="11" fillId="2" borderId="31" xfId="2" applyFont="1" applyFill="1" applyBorder="1" applyAlignment="1">
      <alignment horizontal="center" vertical="center" textRotation="90"/>
    </xf>
    <xf numFmtId="0" fontId="11" fillId="2" borderId="16" xfId="2" applyFont="1" applyFill="1" applyBorder="1" applyAlignment="1">
      <alignment horizontal="center" vertical="center" textRotation="90"/>
    </xf>
    <xf numFmtId="0" fontId="11" fillId="2" borderId="32" xfId="2" applyFont="1" applyFill="1" applyBorder="1" applyAlignment="1">
      <alignment horizontal="center" vertical="center" textRotation="90"/>
    </xf>
    <xf numFmtId="9" fontId="15" fillId="0" borderId="25" xfId="0" applyNumberFormat="1" applyFont="1" applyBorder="1" applyAlignment="1">
      <alignment horizontal="center" vertical="center"/>
    </xf>
    <xf numFmtId="0" fontId="0" fillId="0" borderId="26" xfId="0" applyBorder="1"/>
    <xf numFmtId="0" fontId="0" fillId="0" borderId="27" xfId="0" applyBorder="1"/>
    <xf numFmtId="9" fontId="15" fillId="0" borderId="18" xfId="0" applyNumberFormat="1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13" fillId="12" borderId="21" xfId="0" applyFont="1" applyFill="1" applyBorder="1" applyAlignment="1">
      <alignment horizontal="center" vertical="center"/>
    </xf>
    <xf numFmtId="0" fontId="0" fillId="0" borderId="29" xfId="0" applyBorder="1"/>
    <xf numFmtId="0" fontId="0" fillId="0" borderId="30" xfId="0" applyBorder="1"/>
    <xf numFmtId="0" fontId="12" fillId="14" borderId="0" xfId="0" applyFont="1" applyFill="1" applyAlignment="1">
      <alignment horizontal="center" vertical="center"/>
    </xf>
    <xf numFmtId="0" fontId="10" fillId="12" borderId="21" xfId="0" applyFont="1" applyFill="1" applyBorder="1" applyAlignment="1">
      <alignment horizontal="center" vertical="center"/>
    </xf>
    <xf numFmtId="0" fontId="12" fillId="13" borderId="0" xfId="0" applyFont="1" applyFill="1" applyAlignment="1">
      <alignment horizontal="center" vertical="center"/>
    </xf>
  </cellXfs>
  <cellStyles count="4">
    <cellStyle name="Normal" xfId="0" builtinId="0"/>
    <cellStyle name="Normal 2" xfId="2" xr:uid="{00000000-0005-0000-0000-000002000000}"/>
    <cellStyle name="Normal 3" xfId="3" xr:uid="{F2D72196-1D5C-43F4-81C9-AE5F476FB553}"/>
    <cellStyle name="Pourcentage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591378</xdr:colOff>
      <xdr:row>23</xdr:row>
      <xdr:rowOff>132522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70751E47-276A-4B0E-A574-0EFA9941DE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470335" cy="4399722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3B805-A877-4CB1-A365-8F5241AF785C}">
  <dimension ref="A24"/>
  <sheetViews>
    <sheetView view="pageBreakPreview" zoomScale="115" zoomScaleNormal="40" zoomScaleSheetLayoutView="115" workbookViewId="0">
      <selection activeCell="G29" sqref="G29"/>
    </sheetView>
  </sheetViews>
  <sheetFormatPr baseColWidth="10" defaultColWidth="11.5546875" defaultRowHeight="14.4" x14ac:dyDescent="0.3"/>
  <cols>
    <col min="1" max="8" width="11.5546875" style="53"/>
    <col min="9" max="9" width="3" style="53" bestFit="1" customWidth="1"/>
    <col min="10" max="11" width="11.5546875" style="53"/>
    <col min="12" max="12" width="10.44140625" style="53" customWidth="1"/>
    <col min="13" max="16384" width="11.5546875" style="53"/>
  </cols>
  <sheetData>
    <row r="24" ht="15.6" customHeight="1" x14ac:dyDescent="0.3"/>
  </sheetData>
  <pageMargins left="0.7" right="0.7" top="0.75" bottom="0.75" header="0.3" footer="0.3"/>
  <pageSetup paperSize="9" scale="6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39997558519241921"/>
  </sheetPr>
  <dimension ref="A1:BT133"/>
  <sheetViews>
    <sheetView showGridLines="0" tabSelected="1" view="pageBreakPreview" zoomScale="70" zoomScaleNormal="85" zoomScaleSheetLayoutView="70" workbookViewId="0">
      <pane xSplit="4" ySplit="4" topLeftCell="K5" activePane="bottomRight" state="frozen"/>
      <selection pane="topRight"/>
      <selection pane="bottomLeft"/>
      <selection pane="bottomRight" activeCell="BD4" sqref="BD4"/>
    </sheetView>
  </sheetViews>
  <sheetFormatPr baseColWidth="10" defaultColWidth="13" defaultRowHeight="14.4" x14ac:dyDescent="0.3"/>
  <cols>
    <col min="1" max="1" width="5.6640625" style="1" customWidth="1"/>
    <col min="2" max="2" width="6.6640625" style="1" customWidth="1"/>
    <col min="3" max="3" width="15.33203125" style="1" customWidth="1"/>
    <col min="4" max="4" width="12.21875" style="1" customWidth="1"/>
    <col min="5" max="6" width="12.77734375" style="1" hidden="1" customWidth="1"/>
    <col min="7" max="7" width="14.5546875" style="1" hidden="1" customWidth="1"/>
    <col min="8" max="8" width="13" style="1" hidden="1" customWidth="1"/>
    <col min="9" max="9" width="10.77734375" style="1" hidden="1" customWidth="1"/>
    <col min="10" max="10" width="14.88671875" hidden="1" customWidth="1"/>
    <col min="11" max="11" width="14.6640625" style="1" bestFit="1" customWidth="1"/>
    <col min="12" max="12" width="11.33203125" style="1" customWidth="1"/>
    <col min="13" max="13" width="10.88671875" style="1" customWidth="1"/>
    <col min="14" max="14" width="13" style="1" hidden="1" customWidth="1"/>
    <col min="15" max="15" width="11.88671875" style="1" customWidth="1"/>
    <col min="16" max="16" width="11.88671875" customWidth="1"/>
    <col min="17" max="17" width="12" style="1" customWidth="1"/>
    <col min="18" max="18" width="11.6640625" style="1" hidden="1" customWidth="1"/>
    <col min="19" max="19" width="12.109375" style="1" hidden="1" customWidth="1"/>
    <col min="20" max="20" width="11.33203125" style="1" hidden="1" customWidth="1"/>
    <col min="21" max="21" width="12.6640625" hidden="1" customWidth="1"/>
    <col min="22" max="22" width="12.77734375" hidden="1" customWidth="1"/>
    <col min="23" max="23" width="10.44140625" hidden="1" customWidth="1"/>
    <col min="24" max="24" width="11.33203125" hidden="1" customWidth="1"/>
    <col min="25" max="26" width="11.88671875" hidden="1" customWidth="1"/>
    <col min="27" max="27" width="12.6640625" style="1" hidden="1" customWidth="1"/>
    <col min="28" max="28" width="11.5546875" style="1" hidden="1" customWidth="1"/>
    <col min="29" max="29" width="15.5546875" style="1" hidden="1" customWidth="1"/>
    <col min="30" max="30" width="12.33203125" hidden="1" customWidth="1"/>
    <col min="31" max="31" width="13.88671875" style="1" hidden="1" customWidth="1"/>
    <col min="32" max="32" width="12.6640625" hidden="1" customWidth="1"/>
    <col min="33" max="33" width="12.88671875" style="1" hidden="1" customWidth="1"/>
    <col min="34" max="34" width="12.77734375" style="1" hidden="1" customWidth="1"/>
    <col min="35" max="35" width="11.109375" style="1" hidden="1" customWidth="1"/>
    <col min="36" max="36" width="10.77734375" style="1" hidden="1" customWidth="1"/>
    <col min="37" max="37" width="12.77734375" style="1" hidden="1" customWidth="1"/>
    <col min="38" max="38" width="11.5546875" style="1" hidden="1" customWidth="1"/>
    <col min="39" max="39" width="13" style="1" hidden="1" customWidth="1"/>
    <col min="40" max="40" width="9.77734375" style="1" customWidth="1"/>
    <col min="41" max="41" width="10.77734375" style="1" hidden="1" customWidth="1"/>
    <col min="42" max="42" width="14.88671875" style="1" hidden="1" customWidth="1"/>
    <col min="43" max="43" width="16" style="1" hidden="1" customWidth="1"/>
    <col min="44" max="44" width="9.77734375" style="1" customWidth="1"/>
    <col min="45" max="45" width="12" style="1" customWidth="1"/>
    <col min="46" max="46" width="10.77734375" hidden="1" customWidth="1"/>
    <col min="47" max="47" width="12.77734375" hidden="1" customWidth="1"/>
    <col min="48" max="48" width="11.109375" hidden="1" customWidth="1"/>
    <col min="49" max="49" width="12.6640625" hidden="1" customWidth="1"/>
    <col min="50" max="50" width="12.77734375" customWidth="1"/>
    <col min="51" max="51" width="10.44140625" customWidth="1"/>
    <col min="52" max="52" width="11.33203125" customWidth="1"/>
    <col min="53" max="53" width="12.77734375" customWidth="1"/>
    <col min="54" max="55" width="11.6640625" hidden="1" customWidth="1"/>
    <col min="56" max="57" width="12.21875" customWidth="1"/>
    <col min="58" max="58" width="10.44140625" customWidth="1"/>
    <col min="59" max="59" width="12.6640625" customWidth="1"/>
    <col min="60" max="60" width="12.21875" customWidth="1"/>
    <col min="61" max="61" width="10.44140625" hidden="1" customWidth="1"/>
    <col min="62" max="62" width="11.5546875" hidden="1" customWidth="1"/>
    <col min="63" max="63" width="10.77734375" hidden="1" customWidth="1"/>
    <col min="64" max="64" width="11.109375" hidden="1" customWidth="1"/>
    <col min="65" max="65" width="13" hidden="1" customWidth="1"/>
    <col min="66" max="66" width="13.88671875" hidden="1" customWidth="1"/>
    <col min="67" max="67" width="12.33203125" hidden="1" customWidth="1"/>
    <col min="68" max="68" width="10.77734375" hidden="1" customWidth="1"/>
    <col min="69" max="69" width="14.21875" hidden="1" customWidth="1"/>
    <col min="70" max="70" width="12.21875" hidden="1" customWidth="1"/>
    <col min="71" max="71" width="11.109375" style="1" hidden="1" customWidth="1"/>
    <col min="72" max="72" width="12.21875" style="1" hidden="1" customWidth="1"/>
    <col min="73" max="73" width="13" style="1" customWidth="1"/>
    <col min="74" max="16384" width="13" style="1"/>
  </cols>
  <sheetData>
    <row r="1" spans="1:72" s="2" customFormat="1" ht="15.6" customHeight="1" x14ac:dyDescent="0.3">
      <c r="A1" s="68" t="s">
        <v>0</v>
      </c>
      <c r="B1" s="63"/>
      <c r="C1" s="63"/>
      <c r="D1" s="62"/>
      <c r="E1" s="3">
        <f t="shared" ref="E1:AJ1" si="0">IFERROR(SUM(E$5:E$132)/COUNT($D$5:$D$132),0)</f>
        <v>1</v>
      </c>
      <c r="F1" s="3">
        <f t="shared" si="0"/>
        <v>1</v>
      </c>
      <c r="G1" s="3">
        <f t="shared" si="0"/>
        <v>1</v>
      </c>
      <c r="H1" s="3">
        <f t="shared" si="0"/>
        <v>1</v>
      </c>
      <c r="I1" s="3">
        <f t="shared" si="0"/>
        <v>1</v>
      </c>
      <c r="J1" s="3">
        <f t="shared" si="0"/>
        <v>0</v>
      </c>
      <c r="K1" s="3">
        <f t="shared" si="0"/>
        <v>2.5781249999999999E-2</v>
      </c>
      <c r="L1" s="3">
        <f t="shared" si="0"/>
        <v>0.58671874999999996</v>
      </c>
      <c r="M1" s="3">
        <f t="shared" si="0"/>
        <v>0.35468749999999999</v>
      </c>
      <c r="N1" s="3">
        <f t="shared" si="0"/>
        <v>0</v>
      </c>
      <c r="O1" s="3">
        <f t="shared" si="0"/>
        <v>0.36406250000000001</v>
      </c>
      <c r="P1" s="3">
        <f t="shared" si="0"/>
        <v>0.30546875000000001</v>
      </c>
      <c r="Q1" s="3">
        <f t="shared" si="0"/>
        <v>0.59375</v>
      </c>
      <c r="R1" s="3">
        <f t="shared" si="0"/>
        <v>0</v>
      </c>
      <c r="S1" s="3">
        <f t="shared" si="0"/>
        <v>0</v>
      </c>
      <c r="T1" s="3">
        <f t="shared" si="0"/>
        <v>1.5625E-2</v>
      </c>
      <c r="U1" s="3">
        <f t="shared" si="0"/>
        <v>0</v>
      </c>
      <c r="V1" s="3">
        <f t="shared" si="0"/>
        <v>1.5625E-2</v>
      </c>
      <c r="W1" s="3">
        <f t="shared" si="0"/>
        <v>1.5625E-2</v>
      </c>
      <c r="X1" s="3">
        <f t="shared" si="0"/>
        <v>1.5625E-2</v>
      </c>
      <c r="Y1" s="3">
        <f t="shared" si="0"/>
        <v>1.5625E-2</v>
      </c>
      <c r="Z1" s="3">
        <f t="shared" si="0"/>
        <v>1.5625E-2</v>
      </c>
      <c r="AA1" s="3">
        <f t="shared" si="0"/>
        <v>1.5625E-2</v>
      </c>
      <c r="AB1" s="3">
        <f t="shared" si="0"/>
        <v>0</v>
      </c>
      <c r="AC1" s="3">
        <f t="shared" si="0"/>
        <v>0</v>
      </c>
      <c r="AD1" s="3">
        <f t="shared" si="0"/>
        <v>1.5625E-2</v>
      </c>
      <c r="AE1" s="3">
        <f t="shared" si="0"/>
        <v>1.5625E-2</v>
      </c>
      <c r="AF1" s="3">
        <f t="shared" si="0"/>
        <v>1.5625E-2</v>
      </c>
      <c r="AG1" s="3">
        <f t="shared" si="0"/>
        <v>1.5625E-2</v>
      </c>
      <c r="AH1" s="3">
        <f t="shared" si="0"/>
        <v>1.5625E-2</v>
      </c>
      <c r="AI1" s="3">
        <f t="shared" si="0"/>
        <v>0</v>
      </c>
      <c r="AJ1" s="3">
        <f t="shared" si="0"/>
        <v>0</v>
      </c>
      <c r="AK1" s="3">
        <f t="shared" ref="AK1:BT1" si="1">IFERROR(SUM(AK$5:AK$132)/COUNT($D$5:$D$132),0)</f>
        <v>0</v>
      </c>
      <c r="AL1" s="3">
        <f t="shared" si="1"/>
        <v>0</v>
      </c>
      <c r="AM1" s="3">
        <f t="shared" si="1"/>
        <v>0</v>
      </c>
      <c r="AN1" s="21">
        <f t="shared" si="1"/>
        <v>4.296875E-2</v>
      </c>
      <c r="AO1" s="22">
        <f t="shared" si="1"/>
        <v>3.90625E-2</v>
      </c>
      <c r="AP1" s="22">
        <f t="shared" si="1"/>
        <v>1.5625E-2</v>
      </c>
      <c r="AQ1" s="22">
        <f t="shared" si="1"/>
        <v>3.6718749999999994E-2</v>
      </c>
      <c r="AR1" s="22">
        <f t="shared" si="1"/>
        <v>0.6015625</v>
      </c>
      <c r="AS1" s="22">
        <f t="shared" si="1"/>
        <v>5.5468749999999997E-2</v>
      </c>
      <c r="AT1" s="22">
        <f t="shared" si="1"/>
        <v>6.25E-2</v>
      </c>
      <c r="AU1" s="22">
        <f t="shared" si="1"/>
        <v>0.625</v>
      </c>
      <c r="AV1" s="22">
        <f t="shared" si="1"/>
        <v>0.625</v>
      </c>
      <c r="AW1" s="22">
        <f t="shared" si="1"/>
        <v>0</v>
      </c>
      <c r="AX1" s="22">
        <f t="shared" si="1"/>
        <v>5.1171874999999999E-2</v>
      </c>
      <c r="AY1" s="22">
        <f t="shared" si="1"/>
        <v>4.6875E-2</v>
      </c>
      <c r="AZ1" s="22">
        <f t="shared" si="1"/>
        <v>3.90625E-2</v>
      </c>
      <c r="BA1" s="22">
        <f t="shared" si="1"/>
        <v>6.25E-2</v>
      </c>
      <c r="BB1" s="22">
        <f t="shared" si="1"/>
        <v>0</v>
      </c>
      <c r="BC1" s="22">
        <f t="shared" si="1"/>
        <v>0</v>
      </c>
      <c r="BD1" s="22">
        <f t="shared" si="1"/>
        <v>3.90625E-2</v>
      </c>
      <c r="BE1" s="22">
        <f t="shared" si="1"/>
        <v>3.90625E-2</v>
      </c>
      <c r="BF1" s="22">
        <f t="shared" si="1"/>
        <v>7.8125E-3</v>
      </c>
      <c r="BG1" s="22">
        <f t="shared" si="1"/>
        <v>0</v>
      </c>
      <c r="BH1" s="22">
        <f t="shared" si="1"/>
        <v>0</v>
      </c>
      <c r="BI1" s="22">
        <f t="shared" si="1"/>
        <v>1.5625E-2</v>
      </c>
      <c r="BJ1" s="22">
        <f t="shared" si="1"/>
        <v>1.5625E-2</v>
      </c>
      <c r="BK1" s="22">
        <f t="shared" si="1"/>
        <v>0</v>
      </c>
      <c r="BL1" s="22">
        <f t="shared" si="1"/>
        <v>0</v>
      </c>
      <c r="BM1" s="22">
        <f t="shared" si="1"/>
        <v>0</v>
      </c>
      <c r="BN1" s="22">
        <f t="shared" si="1"/>
        <v>0</v>
      </c>
      <c r="BO1" s="22">
        <f t="shared" si="1"/>
        <v>0</v>
      </c>
      <c r="BP1" s="22">
        <f t="shared" si="1"/>
        <v>0</v>
      </c>
      <c r="BQ1" s="22">
        <f t="shared" si="1"/>
        <v>0</v>
      </c>
      <c r="BR1" s="22">
        <f t="shared" si="1"/>
        <v>0</v>
      </c>
      <c r="BS1" s="23">
        <f t="shared" si="1"/>
        <v>0</v>
      </c>
      <c r="BT1" s="23">
        <f t="shared" si="1"/>
        <v>0</v>
      </c>
    </row>
    <row r="2" spans="1:72" s="2" customFormat="1" ht="15.6" customHeight="1" x14ac:dyDescent="0.3">
      <c r="A2" s="77" t="s">
        <v>1</v>
      </c>
      <c r="B2" s="63"/>
      <c r="C2" s="63"/>
      <c r="D2" s="62"/>
      <c r="E2" s="72" t="s">
        <v>2</v>
      </c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2"/>
      <c r="AN2" s="73" t="s">
        <v>3</v>
      </c>
      <c r="AO2" s="74"/>
      <c r="AP2" s="74"/>
      <c r="AQ2" s="74"/>
      <c r="AR2" s="74"/>
      <c r="AS2" s="74"/>
      <c r="AT2" s="74"/>
      <c r="AU2" s="74"/>
      <c r="AV2" s="74"/>
      <c r="AW2" s="74"/>
      <c r="AX2" s="74"/>
      <c r="AY2" s="74"/>
      <c r="AZ2" s="74"/>
      <c r="BA2" s="74"/>
      <c r="BB2" s="74"/>
      <c r="BC2" s="74"/>
      <c r="BD2" s="74"/>
      <c r="BE2" s="74"/>
      <c r="BF2" s="74"/>
      <c r="BG2" s="74"/>
      <c r="BH2" s="74"/>
      <c r="BI2" s="74"/>
      <c r="BJ2" s="74"/>
      <c r="BK2" s="74"/>
      <c r="BL2" s="74"/>
      <c r="BM2" s="74"/>
      <c r="BN2" s="74"/>
      <c r="BO2" s="74"/>
      <c r="BP2" s="74"/>
      <c r="BQ2" s="74"/>
      <c r="BR2" s="74"/>
      <c r="BS2" s="74"/>
      <c r="BT2" s="75"/>
    </row>
    <row r="3" spans="1:72" ht="26.4" customHeight="1" x14ac:dyDescent="0.3">
      <c r="A3" s="76"/>
      <c r="B3" s="63"/>
      <c r="C3" s="63"/>
      <c r="D3" s="62"/>
      <c r="E3" s="61" t="s">
        <v>4</v>
      </c>
      <c r="F3" s="63"/>
      <c r="G3" s="62"/>
      <c r="H3" s="4" t="s">
        <v>5</v>
      </c>
      <c r="I3" s="61" t="s">
        <v>6</v>
      </c>
      <c r="J3" s="63"/>
      <c r="K3" s="62"/>
      <c r="L3" s="61" t="s">
        <v>7</v>
      </c>
      <c r="M3" s="63"/>
      <c r="N3" s="62"/>
      <c r="O3" s="4" t="s">
        <v>8</v>
      </c>
      <c r="P3" s="4" t="s">
        <v>9</v>
      </c>
      <c r="Q3" s="61" t="s">
        <v>10</v>
      </c>
      <c r="R3" s="63"/>
      <c r="S3" s="63"/>
      <c r="T3" s="63"/>
      <c r="U3" s="63"/>
      <c r="V3" s="63"/>
      <c r="W3" s="62"/>
      <c r="X3" s="4" t="s">
        <v>11</v>
      </c>
      <c r="Y3" s="61" t="s">
        <v>12</v>
      </c>
      <c r="Z3" s="62"/>
      <c r="AA3" s="4" t="s">
        <v>13</v>
      </c>
      <c r="AB3" s="61" t="s">
        <v>14</v>
      </c>
      <c r="AC3" s="62"/>
      <c r="AD3" s="61" t="s">
        <v>15</v>
      </c>
      <c r="AE3" s="62"/>
      <c r="AF3" s="4" t="s">
        <v>16</v>
      </c>
      <c r="AG3" s="4" t="s">
        <v>17</v>
      </c>
      <c r="AH3" s="4" t="s">
        <v>18</v>
      </c>
      <c r="AI3" s="61" t="s">
        <v>19</v>
      </c>
      <c r="AJ3" s="63"/>
      <c r="AK3" s="62"/>
      <c r="AL3" s="61" t="s">
        <v>20</v>
      </c>
      <c r="AM3" s="62"/>
      <c r="AN3" s="24" t="s">
        <v>5</v>
      </c>
      <c r="AO3" s="78" t="s">
        <v>6</v>
      </c>
      <c r="AP3" s="63"/>
      <c r="AQ3" s="62"/>
      <c r="AR3" s="5" t="s">
        <v>21</v>
      </c>
      <c r="AS3" s="67" t="s">
        <v>22</v>
      </c>
      <c r="AT3" s="63"/>
      <c r="AU3" s="63"/>
      <c r="AV3" s="63"/>
      <c r="AW3" s="63"/>
      <c r="AX3" s="63"/>
      <c r="AY3" s="63"/>
      <c r="AZ3" s="62"/>
      <c r="BA3" s="67" t="s">
        <v>15</v>
      </c>
      <c r="BB3" s="63"/>
      <c r="BC3" s="62"/>
      <c r="BD3" s="5" t="s">
        <v>14</v>
      </c>
      <c r="BE3" s="67" t="s">
        <v>23</v>
      </c>
      <c r="BF3" s="63"/>
      <c r="BG3" s="63"/>
      <c r="BH3" s="62"/>
      <c r="BI3" s="67" t="s">
        <v>13</v>
      </c>
      <c r="BJ3" s="62"/>
      <c r="BK3" s="67" t="s">
        <v>24</v>
      </c>
      <c r="BL3" s="63"/>
      <c r="BM3" s="62"/>
      <c r="BN3" s="67" t="s">
        <v>25</v>
      </c>
      <c r="BO3" s="62"/>
      <c r="BP3" s="67" t="s">
        <v>19</v>
      </c>
      <c r="BQ3" s="63"/>
      <c r="BR3" s="62"/>
      <c r="BS3" s="67" t="s">
        <v>26</v>
      </c>
      <c r="BT3" s="62"/>
    </row>
    <row r="4" spans="1:72" ht="36.6" thickBot="1" x14ac:dyDescent="0.35">
      <c r="A4" s="44" t="s">
        <v>27</v>
      </c>
      <c r="B4" s="6" t="s">
        <v>28</v>
      </c>
      <c r="C4" s="6" t="s">
        <v>29</v>
      </c>
      <c r="D4" s="6" t="s">
        <v>30</v>
      </c>
      <c r="E4" s="6" t="s">
        <v>31</v>
      </c>
      <c r="F4" s="7" t="s">
        <v>32</v>
      </c>
      <c r="G4" s="7" t="s">
        <v>33</v>
      </c>
      <c r="H4" s="6" t="s">
        <v>34</v>
      </c>
      <c r="I4" s="7" t="s">
        <v>35</v>
      </c>
      <c r="J4" s="7" t="s">
        <v>36</v>
      </c>
      <c r="K4" s="7" t="s">
        <v>37</v>
      </c>
      <c r="L4" s="6" t="s">
        <v>38</v>
      </c>
      <c r="M4" s="7" t="s">
        <v>39</v>
      </c>
      <c r="N4" s="7" t="s">
        <v>40</v>
      </c>
      <c r="O4" s="7" t="s">
        <v>41</v>
      </c>
      <c r="P4" s="6" t="s">
        <v>42</v>
      </c>
      <c r="Q4" s="7" t="s">
        <v>43</v>
      </c>
      <c r="R4" s="7" t="s">
        <v>44</v>
      </c>
      <c r="S4" s="7" t="s">
        <v>45</v>
      </c>
      <c r="T4" s="7" t="s">
        <v>123</v>
      </c>
      <c r="U4" s="6" t="s">
        <v>46</v>
      </c>
      <c r="V4" s="7" t="s">
        <v>47</v>
      </c>
      <c r="W4" s="7" t="s">
        <v>48</v>
      </c>
      <c r="X4" s="7" t="s">
        <v>49</v>
      </c>
      <c r="Y4" s="7" t="s">
        <v>50</v>
      </c>
      <c r="Z4" s="7" t="s">
        <v>51</v>
      </c>
      <c r="AA4" s="6" t="s">
        <v>52</v>
      </c>
      <c r="AB4" s="7" t="s">
        <v>53</v>
      </c>
      <c r="AC4" s="6" t="s">
        <v>54</v>
      </c>
      <c r="AD4" s="7" t="s">
        <v>55</v>
      </c>
      <c r="AE4" s="7" t="s">
        <v>56</v>
      </c>
      <c r="AF4" s="7" t="s">
        <v>57</v>
      </c>
      <c r="AG4" s="7" t="s">
        <v>58</v>
      </c>
      <c r="AH4" s="6" t="s">
        <v>59</v>
      </c>
      <c r="AI4" s="7" t="s">
        <v>60</v>
      </c>
      <c r="AJ4" s="7" t="s">
        <v>61</v>
      </c>
      <c r="AK4" s="6" t="s">
        <v>62</v>
      </c>
      <c r="AL4" s="7" t="s">
        <v>63</v>
      </c>
      <c r="AM4" s="7" t="s">
        <v>64</v>
      </c>
      <c r="AN4" s="25" t="s">
        <v>65</v>
      </c>
      <c r="AO4" s="6" t="s">
        <v>35</v>
      </c>
      <c r="AP4" s="7" t="s">
        <v>36</v>
      </c>
      <c r="AQ4" s="6" t="s">
        <v>66</v>
      </c>
      <c r="AR4" s="7" t="s">
        <v>67</v>
      </c>
      <c r="AS4" s="7" t="s">
        <v>43</v>
      </c>
      <c r="AT4" s="7" t="s">
        <v>44</v>
      </c>
      <c r="AU4" s="7" t="s">
        <v>68</v>
      </c>
      <c r="AV4" s="7" t="s">
        <v>69</v>
      </c>
      <c r="AW4" s="7" t="s">
        <v>46</v>
      </c>
      <c r="AX4" s="7" t="s">
        <v>126</v>
      </c>
      <c r="AY4" s="7" t="s">
        <v>48</v>
      </c>
      <c r="AZ4" s="7" t="s">
        <v>49</v>
      </c>
      <c r="BA4" s="7" t="s">
        <v>70</v>
      </c>
      <c r="BB4" s="7" t="s">
        <v>71</v>
      </c>
      <c r="BC4" s="7" t="s">
        <v>72</v>
      </c>
      <c r="BD4" s="7" t="s">
        <v>124</v>
      </c>
      <c r="BE4" s="7" t="s">
        <v>73</v>
      </c>
      <c r="BF4" s="7" t="s">
        <v>74</v>
      </c>
      <c r="BG4" s="7" t="s">
        <v>75</v>
      </c>
      <c r="BH4" s="7" t="s">
        <v>76</v>
      </c>
      <c r="BI4" s="7" t="s">
        <v>77</v>
      </c>
      <c r="BJ4" s="7" t="s">
        <v>78</v>
      </c>
      <c r="BK4" s="7" t="s">
        <v>79</v>
      </c>
      <c r="BL4" s="7" t="s">
        <v>80</v>
      </c>
      <c r="BM4" s="7" t="s">
        <v>81</v>
      </c>
      <c r="BN4" s="7" t="s">
        <v>82</v>
      </c>
      <c r="BO4" s="7" t="s">
        <v>83</v>
      </c>
      <c r="BP4" s="7" t="s">
        <v>61</v>
      </c>
      <c r="BQ4" s="7" t="s">
        <v>84</v>
      </c>
      <c r="BR4" s="7" t="s">
        <v>85</v>
      </c>
      <c r="BS4" s="7" t="s">
        <v>86</v>
      </c>
      <c r="BT4" s="26" t="s">
        <v>87</v>
      </c>
    </row>
    <row r="5" spans="1:72" x14ac:dyDescent="0.3">
      <c r="A5" s="79" t="s">
        <v>88</v>
      </c>
      <c r="B5" s="41" t="s">
        <v>89</v>
      </c>
      <c r="C5" s="8" t="s">
        <v>90</v>
      </c>
      <c r="D5" s="8">
        <v>201</v>
      </c>
      <c r="E5" s="9">
        <v>1</v>
      </c>
      <c r="F5" s="9">
        <v>1</v>
      </c>
      <c r="G5" s="9">
        <v>1</v>
      </c>
      <c r="H5" s="9">
        <v>1</v>
      </c>
      <c r="I5" s="9">
        <v>1</v>
      </c>
      <c r="J5" s="9" t="s">
        <v>122</v>
      </c>
      <c r="K5" s="9"/>
      <c r="L5" s="9">
        <v>1</v>
      </c>
      <c r="M5" s="9"/>
      <c r="N5" s="9" t="s">
        <v>122</v>
      </c>
      <c r="O5" s="9"/>
      <c r="P5" s="9">
        <v>0</v>
      </c>
      <c r="Q5" s="9">
        <v>1</v>
      </c>
      <c r="R5" s="9" t="s">
        <v>125</v>
      </c>
      <c r="S5" s="9" t="s">
        <v>122</v>
      </c>
      <c r="T5" s="9">
        <v>0</v>
      </c>
      <c r="U5" s="9" t="s">
        <v>122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 t="s">
        <v>122</v>
      </c>
      <c r="AJ5" s="9" t="s">
        <v>122</v>
      </c>
      <c r="AK5" s="9" t="s">
        <v>122</v>
      </c>
      <c r="AL5" s="9">
        <v>0</v>
      </c>
      <c r="AM5" s="9">
        <v>0</v>
      </c>
      <c r="AN5" s="27"/>
      <c r="AO5" s="9" t="s">
        <v>122</v>
      </c>
      <c r="AP5" s="9" t="s">
        <v>122</v>
      </c>
      <c r="AQ5" s="9"/>
      <c r="AR5" s="10">
        <v>1</v>
      </c>
      <c r="AS5" s="10"/>
      <c r="AT5" s="10"/>
      <c r="AU5" s="10">
        <v>1</v>
      </c>
      <c r="AV5" s="10">
        <v>1</v>
      </c>
      <c r="AW5" s="10"/>
      <c r="AX5" s="10"/>
      <c r="AY5" s="10"/>
      <c r="AZ5" s="11"/>
      <c r="BA5" s="11"/>
      <c r="BB5" s="10"/>
      <c r="BC5" s="10"/>
      <c r="BD5" s="10"/>
      <c r="BE5" s="10"/>
      <c r="BF5" s="10"/>
      <c r="BG5" s="10"/>
      <c r="BH5" s="10"/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/>
      <c r="BQ5" s="10"/>
      <c r="BR5" s="10"/>
      <c r="BS5" s="10"/>
      <c r="BT5" s="28"/>
    </row>
    <row r="6" spans="1:72" ht="17.25" customHeight="1" x14ac:dyDescent="0.3">
      <c r="A6" s="80"/>
      <c r="B6" s="41" t="s">
        <v>89</v>
      </c>
      <c r="C6" s="8" t="s">
        <v>90</v>
      </c>
      <c r="D6" s="8">
        <v>202</v>
      </c>
      <c r="E6" s="9">
        <v>1</v>
      </c>
      <c r="F6" s="9">
        <v>1</v>
      </c>
      <c r="G6" s="9">
        <v>1</v>
      </c>
      <c r="H6" s="9">
        <v>1</v>
      </c>
      <c r="I6" s="9">
        <v>1</v>
      </c>
      <c r="J6" s="9" t="s">
        <v>122</v>
      </c>
      <c r="K6" s="12"/>
      <c r="L6" s="12">
        <v>1</v>
      </c>
      <c r="M6" s="12"/>
      <c r="N6" s="9" t="s">
        <v>122</v>
      </c>
      <c r="O6" s="12"/>
      <c r="P6" s="12">
        <v>0</v>
      </c>
      <c r="Q6" s="9">
        <v>1</v>
      </c>
      <c r="R6" s="9" t="s">
        <v>125</v>
      </c>
      <c r="S6" s="9" t="s">
        <v>122</v>
      </c>
      <c r="T6" s="12">
        <v>0</v>
      </c>
      <c r="U6" s="9" t="s">
        <v>122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9">
        <v>0</v>
      </c>
      <c r="AE6" s="9">
        <v>0</v>
      </c>
      <c r="AF6" s="9">
        <v>0</v>
      </c>
      <c r="AG6" s="9">
        <v>0</v>
      </c>
      <c r="AH6" s="9">
        <v>0</v>
      </c>
      <c r="AI6" s="9" t="s">
        <v>122</v>
      </c>
      <c r="AJ6" s="9" t="s">
        <v>122</v>
      </c>
      <c r="AK6" s="9" t="s">
        <v>122</v>
      </c>
      <c r="AL6" s="9">
        <v>0</v>
      </c>
      <c r="AM6" s="9">
        <v>0</v>
      </c>
      <c r="AN6" s="29"/>
      <c r="AO6" s="9" t="s">
        <v>122</v>
      </c>
      <c r="AP6" s="9" t="s">
        <v>122</v>
      </c>
      <c r="AQ6" s="12"/>
      <c r="AR6" s="10">
        <v>1</v>
      </c>
      <c r="AS6" s="10"/>
      <c r="AT6" s="10"/>
      <c r="AU6" s="10">
        <v>1</v>
      </c>
      <c r="AV6" s="10">
        <v>1</v>
      </c>
      <c r="AW6" s="10"/>
      <c r="AX6" s="10"/>
      <c r="AY6" s="10"/>
      <c r="AZ6" s="11"/>
      <c r="BA6" s="11"/>
      <c r="BB6" s="10"/>
      <c r="BC6" s="10"/>
      <c r="BD6" s="10"/>
      <c r="BE6" s="10"/>
      <c r="BF6" s="10"/>
      <c r="BG6" s="10"/>
      <c r="BH6" s="10"/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/>
      <c r="BQ6" s="10"/>
      <c r="BR6" s="10"/>
      <c r="BS6" s="10"/>
      <c r="BT6" s="28"/>
    </row>
    <row r="7" spans="1:72" ht="17.25" customHeight="1" x14ac:dyDescent="0.3">
      <c r="A7" s="80"/>
      <c r="B7" s="41" t="s">
        <v>89</v>
      </c>
      <c r="C7" s="8" t="s">
        <v>91</v>
      </c>
      <c r="D7" s="8">
        <v>203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 t="s">
        <v>122</v>
      </c>
      <c r="K7" s="12"/>
      <c r="L7" s="12">
        <v>1</v>
      </c>
      <c r="M7" s="12"/>
      <c r="N7" s="9" t="s">
        <v>122</v>
      </c>
      <c r="O7" s="12"/>
      <c r="P7" s="12">
        <v>0</v>
      </c>
      <c r="Q7" s="9">
        <v>1</v>
      </c>
      <c r="R7" s="9" t="s">
        <v>125</v>
      </c>
      <c r="S7" s="9" t="s">
        <v>122</v>
      </c>
      <c r="T7" s="12">
        <v>0</v>
      </c>
      <c r="U7" s="9" t="s">
        <v>122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 t="s">
        <v>122</v>
      </c>
      <c r="AJ7" s="9" t="s">
        <v>122</v>
      </c>
      <c r="AK7" s="9" t="s">
        <v>122</v>
      </c>
      <c r="AL7" s="9">
        <v>0</v>
      </c>
      <c r="AM7" s="9">
        <v>0</v>
      </c>
      <c r="AN7" s="29"/>
      <c r="AO7" s="9" t="s">
        <v>122</v>
      </c>
      <c r="AP7" s="9" t="s">
        <v>122</v>
      </c>
      <c r="AQ7" s="12"/>
      <c r="AR7" s="10">
        <v>1</v>
      </c>
      <c r="AS7" s="10"/>
      <c r="AT7" s="10"/>
      <c r="AU7" s="10">
        <v>1</v>
      </c>
      <c r="AV7" s="10">
        <v>1</v>
      </c>
      <c r="AW7" s="10"/>
      <c r="AX7" s="10"/>
      <c r="AY7" s="10"/>
      <c r="AZ7" s="11"/>
      <c r="BA7" s="11"/>
      <c r="BB7" s="10"/>
      <c r="BC7" s="10"/>
      <c r="BD7" s="10"/>
      <c r="BE7" s="10"/>
      <c r="BF7" s="10"/>
      <c r="BG7" s="10"/>
      <c r="BH7" s="10"/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/>
      <c r="BQ7" s="10"/>
      <c r="BR7" s="10"/>
      <c r="BS7" s="10"/>
      <c r="BT7" s="28"/>
    </row>
    <row r="8" spans="1:72" ht="17.25" customHeight="1" x14ac:dyDescent="0.3">
      <c r="A8" s="80"/>
      <c r="B8" s="41" t="s">
        <v>89</v>
      </c>
      <c r="C8" s="8" t="s">
        <v>90</v>
      </c>
      <c r="D8" s="8">
        <v>204</v>
      </c>
      <c r="E8" s="9">
        <v>1</v>
      </c>
      <c r="F8" s="9">
        <v>1</v>
      </c>
      <c r="G8" s="9">
        <v>1</v>
      </c>
      <c r="H8" s="9">
        <v>1</v>
      </c>
      <c r="I8" s="9">
        <v>1</v>
      </c>
      <c r="J8" s="9" t="s">
        <v>122</v>
      </c>
      <c r="K8" s="12"/>
      <c r="L8" s="12">
        <v>1</v>
      </c>
      <c r="M8" s="12">
        <v>1</v>
      </c>
      <c r="N8" s="9" t="s">
        <v>122</v>
      </c>
      <c r="O8" s="12">
        <v>1</v>
      </c>
      <c r="P8" s="12">
        <v>1</v>
      </c>
      <c r="Q8" s="9">
        <v>1</v>
      </c>
      <c r="R8" s="9" t="s">
        <v>125</v>
      </c>
      <c r="S8" s="9" t="s">
        <v>122</v>
      </c>
      <c r="T8" s="12">
        <v>0</v>
      </c>
      <c r="U8" s="9" t="s">
        <v>122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 t="s">
        <v>122</v>
      </c>
      <c r="AJ8" s="9" t="s">
        <v>122</v>
      </c>
      <c r="AK8" s="9" t="s">
        <v>122</v>
      </c>
      <c r="AL8" s="9">
        <v>0</v>
      </c>
      <c r="AM8" s="9">
        <v>0</v>
      </c>
      <c r="AN8" s="29"/>
      <c r="AO8" s="9" t="s">
        <v>122</v>
      </c>
      <c r="AP8" s="9" t="s">
        <v>122</v>
      </c>
      <c r="AQ8" s="12"/>
      <c r="AR8" s="10">
        <v>1</v>
      </c>
      <c r="AS8" s="10"/>
      <c r="AT8" s="10"/>
      <c r="AU8" s="10">
        <v>1</v>
      </c>
      <c r="AV8" s="10">
        <v>1</v>
      </c>
      <c r="AW8" s="10"/>
      <c r="AX8" s="10"/>
      <c r="AY8" s="10"/>
      <c r="AZ8" s="11"/>
      <c r="BA8" s="11"/>
      <c r="BB8" s="10"/>
      <c r="BC8" s="10"/>
      <c r="BD8" s="10"/>
      <c r="BE8" s="10"/>
      <c r="BF8" s="10"/>
      <c r="BG8" s="10"/>
      <c r="BH8" s="10"/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/>
      <c r="BQ8" s="10"/>
      <c r="BR8" s="10"/>
      <c r="BS8" s="10"/>
      <c r="BT8" s="28"/>
    </row>
    <row r="9" spans="1:72" ht="17.25" customHeight="1" x14ac:dyDescent="0.3">
      <c r="A9" s="80"/>
      <c r="B9" s="41" t="s">
        <v>89</v>
      </c>
      <c r="C9" s="8" t="s">
        <v>90</v>
      </c>
      <c r="D9" s="8">
        <v>205</v>
      </c>
      <c r="E9" s="9">
        <v>1</v>
      </c>
      <c r="F9" s="9">
        <v>1</v>
      </c>
      <c r="G9" s="9">
        <v>1</v>
      </c>
      <c r="H9" s="9">
        <v>1</v>
      </c>
      <c r="I9" s="9">
        <v>1</v>
      </c>
      <c r="J9" s="9" t="s">
        <v>122</v>
      </c>
      <c r="K9" s="12"/>
      <c r="L9" s="12">
        <v>1</v>
      </c>
      <c r="M9" s="12">
        <v>1</v>
      </c>
      <c r="N9" s="9" t="s">
        <v>122</v>
      </c>
      <c r="O9" s="12">
        <v>1</v>
      </c>
      <c r="P9" s="12">
        <v>1</v>
      </c>
      <c r="Q9" s="9">
        <v>1</v>
      </c>
      <c r="R9" s="9" t="s">
        <v>125</v>
      </c>
      <c r="S9" s="9" t="s">
        <v>122</v>
      </c>
      <c r="T9" s="12">
        <v>0</v>
      </c>
      <c r="U9" s="9" t="s">
        <v>122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 t="s">
        <v>122</v>
      </c>
      <c r="AJ9" s="9" t="s">
        <v>122</v>
      </c>
      <c r="AK9" s="9" t="s">
        <v>122</v>
      </c>
      <c r="AL9" s="9">
        <v>0</v>
      </c>
      <c r="AM9" s="9">
        <v>0</v>
      </c>
      <c r="AN9" s="29"/>
      <c r="AO9" s="9" t="s">
        <v>122</v>
      </c>
      <c r="AP9" s="9" t="s">
        <v>122</v>
      </c>
      <c r="AQ9" s="12"/>
      <c r="AR9" s="10">
        <v>1</v>
      </c>
      <c r="AS9" s="10"/>
      <c r="AT9" s="10"/>
      <c r="AU9" s="10">
        <v>1</v>
      </c>
      <c r="AV9" s="10">
        <v>1</v>
      </c>
      <c r="AW9" s="10"/>
      <c r="AX9" s="10"/>
      <c r="AY9" s="10"/>
      <c r="AZ9" s="11"/>
      <c r="BA9" s="11"/>
      <c r="BB9" s="10"/>
      <c r="BC9" s="10"/>
      <c r="BD9" s="10"/>
      <c r="BE9" s="10"/>
      <c r="BF9" s="10"/>
      <c r="BG9" s="10"/>
      <c r="BH9" s="10"/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/>
      <c r="BQ9" s="10"/>
      <c r="BR9" s="10"/>
      <c r="BS9" s="10"/>
      <c r="BT9" s="28"/>
    </row>
    <row r="10" spans="1:72" ht="17.25" customHeight="1" x14ac:dyDescent="0.3">
      <c r="A10" s="80"/>
      <c r="B10" s="41" t="s">
        <v>89</v>
      </c>
      <c r="C10" s="8" t="s">
        <v>91</v>
      </c>
      <c r="D10" s="8">
        <v>206</v>
      </c>
      <c r="E10" s="9">
        <v>1</v>
      </c>
      <c r="F10" s="9">
        <v>1</v>
      </c>
      <c r="G10" s="9">
        <v>1</v>
      </c>
      <c r="H10" s="9">
        <v>1</v>
      </c>
      <c r="I10" s="9">
        <v>1</v>
      </c>
      <c r="J10" s="9" t="s">
        <v>122</v>
      </c>
      <c r="K10" s="12"/>
      <c r="L10" s="12">
        <v>1</v>
      </c>
      <c r="M10" s="12">
        <v>1</v>
      </c>
      <c r="N10" s="9" t="s">
        <v>122</v>
      </c>
      <c r="O10" s="12">
        <v>1</v>
      </c>
      <c r="P10" s="12">
        <v>1</v>
      </c>
      <c r="Q10" s="9">
        <v>1</v>
      </c>
      <c r="R10" s="9" t="s">
        <v>125</v>
      </c>
      <c r="S10" s="9" t="s">
        <v>122</v>
      </c>
      <c r="T10" s="12">
        <v>0</v>
      </c>
      <c r="U10" s="9" t="s">
        <v>122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 t="s">
        <v>122</v>
      </c>
      <c r="AJ10" s="9" t="s">
        <v>122</v>
      </c>
      <c r="AK10" s="9" t="s">
        <v>122</v>
      </c>
      <c r="AL10" s="9">
        <v>0</v>
      </c>
      <c r="AM10" s="9">
        <v>0</v>
      </c>
      <c r="AN10" s="29"/>
      <c r="AO10" s="9" t="s">
        <v>122</v>
      </c>
      <c r="AP10" s="9" t="s">
        <v>122</v>
      </c>
      <c r="AQ10" s="12"/>
      <c r="AR10" s="10">
        <v>1</v>
      </c>
      <c r="AS10" s="10"/>
      <c r="AT10" s="10"/>
      <c r="AU10" s="10">
        <v>1</v>
      </c>
      <c r="AV10" s="10">
        <v>1</v>
      </c>
      <c r="AW10" s="10"/>
      <c r="AX10" s="10"/>
      <c r="AY10" s="10"/>
      <c r="AZ10" s="11"/>
      <c r="BA10" s="11"/>
      <c r="BB10" s="10"/>
      <c r="BC10" s="10"/>
      <c r="BD10" s="10"/>
      <c r="BE10" s="10"/>
      <c r="BF10" s="10"/>
      <c r="BG10" s="10"/>
      <c r="BH10" s="10"/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/>
      <c r="BQ10" s="10"/>
      <c r="BR10" s="10"/>
      <c r="BS10" s="10"/>
      <c r="BT10" s="28"/>
    </row>
    <row r="11" spans="1:72" ht="17.25" customHeight="1" x14ac:dyDescent="0.3">
      <c r="A11" s="80"/>
      <c r="B11" s="41" t="s">
        <v>89</v>
      </c>
      <c r="C11" s="8" t="s">
        <v>90</v>
      </c>
      <c r="D11" s="8">
        <v>207</v>
      </c>
      <c r="E11" s="9">
        <v>1</v>
      </c>
      <c r="F11" s="9">
        <v>1</v>
      </c>
      <c r="G11" s="9">
        <v>1</v>
      </c>
      <c r="H11" s="9">
        <v>1</v>
      </c>
      <c r="I11" s="9">
        <v>1</v>
      </c>
      <c r="J11" s="9" t="s">
        <v>122</v>
      </c>
      <c r="K11" s="12"/>
      <c r="L11" s="12">
        <v>1</v>
      </c>
      <c r="M11" s="12">
        <v>1</v>
      </c>
      <c r="N11" s="9" t="s">
        <v>122</v>
      </c>
      <c r="O11" s="12">
        <v>1</v>
      </c>
      <c r="P11" s="12">
        <v>1</v>
      </c>
      <c r="Q11" s="9">
        <v>1</v>
      </c>
      <c r="R11" s="9" t="s">
        <v>125</v>
      </c>
      <c r="S11" s="9" t="s">
        <v>122</v>
      </c>
      <c r="T11" s="12">
        <v>0</v>
      </c>
      <c r="U11" s="9" t="s">
        <v>122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 t="s">
        <v>122</v>
      </c>
      <c r="AJ11" s="9" t="s">
        <v>122</v>
      </c>
      <c r="AK11" s="9" t="s">
        <v>122</v>
      </c>
      <c r="AL11" s="9">
        <v>0</v>
      </c>
      <c r="AM11" s="9">
        <v>0</v>
      </c>
      <c r="AN11" s="29"/>
      <c r="AO11" s="9" t="s">
        <v>122</v>
      </c>
      <c r="AP11" s="9" t="s">
        <v>122</v>
      </c>
      <c r="AQ11" s="12"/>
      <c r="AR11" s="10">
        <v>1</v>
      </c>
      <c r="AS11" s="10"/>
      <c r="AT11" s="10"/>
      <c r="AU11" s="10">
        <v>1</v>
      </c>
      <c r="AV11" s="10">
        <v>1</v>
      </c>
      <c r="AW11" s="10"/>
      <c r="AX11" s="10"/>
      <c r="AY11" s="10"/>
      <c r="AZ11" s="11"/>
      <c r="BA11" s="11"/>
      <c r="BB11" s="10"/>
      <c r="BC11" s="10"/>
      <c r="BD11" s="10"/>
      <c r="BE11" s="10"/>
      <c r="BF11" s="10"/>
      <c r="BG11" s="10"/>
      <c r="BH11" s="10"/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/>
      <c r="BQ11" s="10"/>
      <c r="BR11" s="10"/>
      <c r="BS11" s="10"/>
      <c r="BT11" s="28"/>
    </row>
    <row r="12" spans="1:72" ht="17.25" customHeight="1" x14ac:dyDescent="0.3">
      <c r="A12" s="80"/>
      <c r="B12" s="41" t="s">
        <v>89</v>
      </c>
      <c r="C12" s="8" t="s">
        <v>90</v>
      </c>
      <c r="D12" s="8">
        <v>218</v>
      </c>
      <c r="E12" s="9">
        <v>1</v>
      </c>
      <c r="F12" s="9">
        <v>1</v>
      </c>
      <c r="G12" s="9">
        <v>1</v>
      </c>
      <c r="H12" s="9">
        <v>1</v>
      </c>
      <c r="I12" s="9">
        <v>1</v>
      </c>
      <c r="J12" s="9" t="s">
        <v>122</v>
      </c>
      <c r="K12" s="12"/>
      <c r="L12" s="12">
        <v>1</v>
      </c>
      <c r="M12" s="12">
        <v>1</v>
      </c>
      <c r="N12" s="9" t="s">
        <v>122</v>
      </c>
      <c r="O12" s="12">
        <v>1</v>
      </c>
      <c r="P12" s="12">
        <v>1</v>
      </c>
      <c r="Q12" s="9">
        <v>1</v>
      </c>
      <c r="R12" s="9" t="s">
        <v>125</v>
      </c>
      <c r="S12" s="9" t="s">
        <v>122</v>
      </c>
      <c r="T12" s="12">
        <v>0</v>
      </c>
      <c r="U12" s="9" t="s">
        <v>122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 t="s">
        <v>122</v>
      </c>
      <c r="AJ12" s="9" t="s">
        <v>122</v>
      </c>
      <c r="AK12" s="9" t="s">
        <v>122</v>
      </c>
      <c r="AL12" s="9">
        <v>0</v>
      </c>
      <c r="AM12" s="9">
        <v>0</v>
      </c>
      <c r="AN12" s="29"/>
      <c r="AO12" s="9" t="s">
        <v>122</v>
      </c>
      <c r="AP12" s="9" t="s">
        <v>122</v>
      </c>
      <c r="AQ12" s="12"/>
      <c r="AR12" s="10">
        <v>1</v>
      </c>
      <c r="AS12" s="10"/>
      <c r="AT12" s="10"/>
      <c r="AU12" s="10">
        <v>1</v>
      </c>
      <c r="AV12" s="10">
        <v>1</v>
      </c>
      <c r="AW12" s="10"/>
      <c r="AX12" s="10"/>
      <c r="AY12" s="10"/>
      <c r="AZ12" s="11"/>
      <c r="BA12" s="11"/>
      <c r="BB12" s="10"/>
      <c r="BC12" s="10"/>
      <c r="BD12" s="10"/>
      <c r="BE12" s="10"/>
      <c r="BF12" s="10"/>
      <c r="BG12" s="10"/>
      <c r="BH12" s="10"/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/>
      <c r="BQ12" s="10"/>
      <c r="BR12" s="10"/>
      <c r="BS12" s="10"/>
      <c r="BT12" s="28"/>
    </row>
    <row r="13" spans="1:72" ht="17.25" customHeight="1" x14ac:dyDescent="0.3">
      <c r="A13" s="80"/>
      <c r="B13" s="41" t="s">
        <v>89</v>
      </c>
      <c r="C13" s="8" t="s">
        <v>90</v>
      </c>
      <c r="D13" s="8">
        <v>219</v>
      </c>
      <c r="E13" s="9">
        <v>1</v>
      </c>
      <c r="F13" s="9">
        <v>1</v>
      </c>
      <c r="G13" s="9">
        <v>1</v>
      </c>
      <c r="H13" s="9">
        <v>1</v>
      </c>
      <c r="I13" s="9">
        <v>1</v>
      </c>
      <c r="J13" s="9" t="s">
        <v>122</v>
      </c>
      <c r="K13" s="12"/>
      <c r="L13" s="12">
        <v>1</v>
      </c>
      <c r="M13" s="12">
        <v>1</v>
      </c>
      <c r="N13" s="9" t="s">
        <v>122</v>
      </c>
      <c r="O13" s="12">
        <v>1</v>
      </c>
      <c r="P13" s="12">
        <v>1</v>
      </c>
      <c r="Q13" s="9">
        <v>1</v>
      </c>
      <c r="R13" s="9" t="s">
        <v>125</v>
      </c>
      <c r="S13" s="9" t="s">
        <v>122</v>
      </c>
      <c r="T13" s="12">
        <v>0</v>
      </c>
      <c r="U13" s="9" t="s">
        <v>122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 t="s">
        <v>122</v>
      </c>
      <c r="AJ13" s="9" t="s">
        <v>122</v>
      </c>
      <c r="AK13" s="9" t="s">
        <v>122</v>
      </c>
      <c r="AL13" s="9">
        <v>0</v>
      </c>
      <c r="AM13" s="9">
        <v>0</v>
      </c>
      <c r="AN13" s="29"/>
      <c r="AO13" s="9" t="s">
        <v>122</v>
      </c>
      <c r="AP13" s="9" t="s">
        <v>122</v>
      </c>
      <c r="AQ13" s="12"/>
      <c r="AR13" s="10">
        <v>1</v>
      </c>
      <c r="AS13" s="10"/>
      <c r="AT13" s="10"/>
      <c r="AU13" s="10">
        <v>1</v>
      </c>
      <c r="AV13" s="10">
        <v>1</v>
      </c>
      <c r="AW13" s="10"/>
      <c r="AX13" s="10"/>
      <c r="AY13" s="10"/>
      <c r="AZ13" s="11"/>
      <c r="BA13" s="11"/>
      <c r="BB13" s="10"/>
      <c r="BC13" s="10"/>
      <c r="BD13" s="10"/>
      <c r="BE13" s="10"/>
      <c r="BF13" s="10"/>
      <c r="BG13" s="10"/>
      <c r="BH13" s="10"/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/>
      <c r="BQ13" s="10"/>
      <c r="BR13" s="10"/>
      <c r="BS13" s="10"/>
      <c r="BT13" s="28"/>
    </row>
    <row r="14" spans="1:72" ht="17.25" customHeight="1" x14ac:dyDescent="0.3">
      <c r="A14" s="80"/>
      <c r="B14" s="41" t="s">
        <v>89</v>
      </c>
      <c r="C14" s="8" t="s">
        <v>90</v>
      </c>
      <c r="D14" s="8">
        <v>220</v>
      </c>
      <c r="E14" s="9">
        <v>1</v>
      </c>
      <c r="F14" s="9">
        <v>1</v>
      </c>
      <c r="G14" s="9">
        <v>1</v>
      </c>
      <c r="H14" s="9">
        <v>1</v>
      </c>
      <c r="I14" s="9">
        <v>1</v>
      </c>
      <c r="J14" s="9" t="s">
        <v>122</v>
      </c>
      <c r="K14" s="12"/>
      <c r="L14" s="12">
        <v>1</v>
      </c>
      <c r="M14" s="12">
        <v>1</v>
      </c>
      <c r="N14" s="9" t="s">
        <v>122</v>
      </c>
      <c r="O14" s="12">
        <v>1</v>
      </c>
      <c r="P14" s="12">
        <v>1</v>
      </c>
      <c r="Q14" s="9">
        <v>1</v>
      </c>
      <c r="R14" s="9" t="s">
        <v>125</v>
      </c>
      <c r="S14" s="9" t="s">
        <v>122</v>
      </c>
      <c r="T14" s="12">
        <v>0</v>
      </c>
      <c r="U14" s="9" t="s">
        <v>122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 t="s">
        <v>122</v>
      </c>
      <c r="AJ14" s="9" t="s">
        <v>122</v>
      </c>
      <c r="AK14" s="9" t="s">
        <v>122</v>
      </c>
      <c r="AL14" s="9">
        <v>0</v>
      </c>
      <c r="AM14" s="9">
        <v>0</v>
      </c>
      <c r="AN14" s="29"/>
      <c r="AO14" s="9" t="s">
        <v>122</v>
      </c>
      <c r="AP14" s="9" t="s">
        <v>122</v>
      </c>
      <c r="AQ14" s="12"/>
      <c r="AR14" s="10">
        <v>1</v>
      </c>
      <c r="AS14" s="10"/>
      <c r="AT14" s="10"/>
      <c r="AU14" s="10">
        <v>1</v>
      </c>
      <c r="AV14" s="10">
        <v>1</v>
      </c>
      <c r="AW14" s="10"/>
      <c r="AX14" s="10"/>
      <c r="AY14" s="10"/>
      <c r="AZ14" s="11"/>
      <c r="BA14" s="11"/>
      <c r="BB14" s="10"/>
      <c r="BC14" s="10"/>
      <c r="BD14" s="10"/>
      <c r="BE14" s="10"/>
      <c r="BF14" s="10"/>
      <c r="BG14" s="10"/>
      <c r="BH14" s="10"/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/>
      <c r="BQ14" s="10"/>
      <c r="BR14" s="10"/>
      <c r="BS14" s="10"/>
      <c r="BT14" s="28"/>
    </row>
    <row r="15" spans="1:72" ht="17.25" customHeight="1" x14ac:dyDescent="0.3">
      <c r="A15" s="80"/>
      <c r="B15" s="41" t="s">
        <v>89</v>
      </c>
      <c r="C15" s="41" t="s">
        <v>91</v>
      </c>
      <c r="D15" s="41">
        <v>235</v>
      </c>
      <c r="E15" s="9">
        <v>1</v>
      </c>
      <c r="F15" s="9">
        <v>1</v>
      </c>
      <c r="G15" s="9">
        <v>1</v>
      </c>
      <c r="H15" s="9">
        <v>1</v>
      </c>
      <c r="I15" s="9">
        <v>1</v>
      </c>
      <c r="J15" s="9" t="s">
        <v>122</v>
      </c>
      <c r="K15" s="47"/>
      <c r="L15" s="47">
        <v>1</v>
      </c>
      <c r="M15" s="47"/>
      <c r="N15" s="9" t="s">
        <v>122</v>
      </c>
      <c r="O15" s="47"/>
      <c r="P15" s="47">
        <v>0</v>
      </c>
      <c r="Q15" s="9">
        <v>1</v>
      </c>
      <c r="R15" s="9" t="s">
        <v>125</v>
      </c>
      <c r="S15" s="9" t="s">
        <v>122</v>
      </c>
      <c r="T15" s="12">
        <v>0</v>
      </c>
      <c r="U15" s="9" t="s">
        <v>122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 t="s">
        <v>122</v>
      </c>
      <c r="AJ15" s="9" t="s">
        <v>122</v>
      </c>
      <c r="AK15" s="9" t="s">
        <v>122</v>
      </c>
      <c r="AL15" s="9">
        <v>0</v>
      </c>
      <c r="AM15" s="9">
        <v>0</v>
      </c>
      <c r="AN15" s="48"/>
      <c r="AO15" s="9" t="s">
        <v>122</v>
      </c>
      <c r="AP15" s="9" t="s">
        <v>122</v>
      </c>
      <c r="AQ15" s="47"/>
      <c r="AR15" s="49">
        <v>1</v>
      </c>
      <c r="AS15" s="49"/>
      <c r="AT15" s="49"/>
      <c r="AU15" s="10">
        <v>1</v>
      </c>
      <c r="AV15" s="10">
        <v>1</v>
      </c>
      <c r="AW15" s="49"/>
      <c r="AX15" s="49"/>
      <c r="AY15" s="49"/>
      <c r="AZ15" s="50"/>
      <c r="BA15" s="50"/>
      <c r="BB15" s="49"/>
      <c r="BC15" s="49"/>
      <c r="BD15" s="49"/>
      <c r="BE15" s="49"/>
      <c r="BF15" s="49"/>
      <c r="BG15" s="49"/>
      <c r="BH15" s="49"/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49"/>
      <c r="BQ15" s="49"/>
      <c r="BR15" s="49"/>
      <c r="BS15" s="49"/>
      <c r="BT15" s="51"/>
    </row>
    <row r="16" spans="1:72" ht="17.25" customHeight="1" x14ac:dyDescent="0.3">
      <c r="A16" s="80"/>
      <c r="B16" s="41" t="s">
        <v>89</v>
      </c>
      <c r="C16" s="41" t="s">
        <v>90</v>
      </c>
      <c r="D16" s="41">
        <v>236</v>
      </c>
      <c r="E16" s="9">
        <v>1</v>
      </c>
      <c r="F16" s="9">
        <v>1</v>
      </c>
      <c r="G16" s="9">
        <v>1</v>
      </c>
      <c r="H16" s="9">
        <v>1</v>
      </c>
      <c r="I16" s="9">
        <v>1</v>
      </c>
      <c r="J16" s="9" t="s">
        <v>122</v>
      </c>
      <c r="K16" s="47"/>
      <c r="L16" s="47">
        <v>1</v>
      </c>
      <c r="M16" s="47"/>
      <c r="N16" s="9" t="s">
        <v>122</v>
      </c>
      <c r="O16" s="47"/>
      <c r="P16" s="47">
        <v>0</v>
      </c>
      <c r="Q16" s="9">
        <v>1</v>
      </c>
      <c r="R16" s="9" t="s">
        <v>125</v>
      </c>
      <c r="S16" s="9" t="s">
        <v>122</v>
      </c>
      <c r="T16" s="12">
        <v>0</v>
      </c>
      <c r="U16" s="9" t="s">
        <v>122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 t="s">
        <v>122</v>
      </c>
      <c r="AJ16" s="9" t="s">
        <v>122</v>
      </c>
      <c r="AK16" s="9" t="s">
        <v>122</v>
      </c>
      <c r="AL16" s="9">
        <v>0</v>
      </c>
      <c r="AM16" s="9">
        <v>0</v>
      </c>
      <c r="AN16" s="48"/>
      <c r="AO16" s="9" t="s">
        <v>122</v>
      </c>
      <c r="AP16" s="9" t="s">
        <v>122</v>
      </c>
      <c r="AQ16" s="47"/>
      <c r="AR16" s="49">
        <v>1</v>
      </c>
      <c r="AS16" s="49"/>
      <c r="AT16" s="49"/>
      <c r="AU16" s="10">
        <v>1</v>
      </c>
      <c r="AV16" s="10">
        <v>1</v>
      </c>
      <c r="AW16" s="49"/>
      <c r="AX16" s="49"/>
      <c r="AY16" s="49"/>
      <c r="AZ16" s="50"/>
      <c r="BA16" s="50"/>
      <c r="BB16" s="49"/>
      <c r="BC16" s="49"/>
      <c r="BD16" s="49"/>
      <c r="BE16" s="49"/>
      <c r="BF16" s="49"/>
      <c r="BG16" s="49"/>
      <c r="BH16" s="49"/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49"/>
      <c r="BQ16" s="49"/>
      <c r="BR16" s="49"/>
      <c r="BS16" s="49"/>
      <c r="BT16" s="51"/>
    </row>
    <row r="17" spans="1:72" ht="17.25" customHeight="1" x14ac:dyDescent="0.3">
      <c r="A17" s="80"/>
      <c r="B17" s="41" t="s">
        <v>89</v>
      </c>
      <c r="C17" s="8" t="s">
        <v>90</v>
      </c>
      <c r="D17" s="8">
        <v>237</v>
      </c>
      <c r="E17" s="9">
        <v>1</v>
      </c>
      <c r="F17" s="9">
        <v>1</v>
      </c>
      <c r="G17" s="9">
        <v>1</v>
      </c>
      <c r="H17" s="9">
        <v>1</v>
      </c>
      <c r="I17" s="9">
        <v>1</v>
      </c>
      <c r="J17" s="9" t="s">
        <v>122</v>
      </c>
      <c r="K17" s="12"/>
      <c r="L17" s="12">
        <v>1</v>
      </c>
      <c r="M17" s="12">
        <v>1</v>
      </c>
      <c r="N17" s="9" t="s">
        <v>122</v>
      </c>
      <c r="O17" s="12">
        <v>1</v>
      </c>
      <c r="P17" s="12">
        <v>1</v>
      </c>
      <c r="Q17" s="9">
        <v>1</v>
      </c>
      <c r="R17" s="9" t="s">
        <v>125</v>
      </c>
      <c r="S17" s="9" t="s">
        <v>122</v>
      </c>
      <c r="T17" s="12">
        <v>0</v>
      </c>
      <c r="U17" s="9" t="s">
        <v>122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 t="s">
        <v>122</v>
      </c>
      <c r="AJ17" s="9" t="s">
        <v>122</v>
      </c>
      <c r="AK17" s="9" t="s">
        <v>122</v>
      </c>
      <c r="AL17" s="9">
        <v>0</v>
      </c>
      <c r="AM17" s="9">
        <v>0</v>
      </c>
      <c r="AN17" s="29"/>
      <c r="AO17" s="9" t="s">
        <v>122</v>
      </c>
      <c r="AP17" s="9" t="s">
        <v>122</v>
      </c>
      <c r="AQ17" s="12"/>
      <c r="AR17" s="10">
        <v>1</v>
      </c>
      <c r="AS17" s="10"/>
      <c r="AT17" s="10"/>
      <c r="AU17" s="10">
        <v>1</v>
      </c>
      <c r="AV17" s="10">
        <v>1</v>
      </c>
      <c r="AW17" s="10"/>
      <c r="AX17" s="10"/>
      <c r="AY17" s="10"/>
      <c r="AZ17" s="11"/>
      <c r="BA17" s="11"/>
      <c r="BB17" s="10"/>
      <c r="BC17" s="10"/>
      <c r="BD17" s="10"/>
      <c r="BE17" s="10"/>
      <c r="BF17" s="10"/>
      <c r="BG17" s="10"/>
      <c r="BH17" s="10"/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/>
      <c r="BQ17" s="10"/>
      <c r="BR17" s="10"/>
      <c r="BS17" s="10"/>
      <c r="BT17" s="28"/>
    </row>
    <row r="18" spans="1:72" ht="17.25" customHeight="1" x14ac:dyDescent="0.3">
      <c r="A18" s="80"/>
      <c r="B18" s="41" t="s">
        <v>89</v>
      </c>
      <c r="C18" s="8" t="s">
        <v>90</v>
      </c>
      <c r="D18" s="8">
        <v>238</v>
      </c>
      <c r="E18" s="9">
        <v>1</v>
      </c>
      <c r="F18" s="9">
        <v>1</v>
      </c>
      <c r="G18" s="9">
        <v>1</v>
      </c>
      <c r="H18" s="9">
        <v>1</v>
      </c>
      <c r="I18" s="9">
        <v>1</v>
      </c>
      <c r="J18" s="9" t="s">
        <v>122</v>
      </c>
      <c r="K18" s="12"/>
      <c r="L18" s="12">
        <v>1</v>
      </c>
      <c r="M18" s="12">
        <v>1</v>
      </c>
      <c r="N18" s="9" t="s">
        <v>122</v>
      </c>
      <c r="O18" s="12">
        <v>1</v>
      </c>
      <c r="P18" s="12">
        <v>1</v>
      </c>
      <c r="Q18" s="9">
        <v>1</v>
      </c>
      <c r="R18" s="9" t="s">
        <v>125</v>
      </c>
      <c r="S18" s="9" t="s">
        <v>122</v>
      </c>
      <c r="T18" s="12">
        <v>0</v>
      </c>
      <c r="U18" s="9" t="s">
        <v>122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 t="s">
        <v>122</v>
      </c>
      <c r="AJ18" s="9" t="s">
        <v>122</v>
      </c>
      <c r="AK18" s="9" t="s">
        <v>122</v>
      </c>
      <c r="AL18" s="9">
        <v>0</v>
      </c>
      <c r="AM18" s="9">
        <v>0</v>
      </c>
      <c r="AN18" s="29"/>
      <c r="AO18" s="9" t="s">
        <v>122</v>
      </c>
      <c r="AP18" s="9" t="s">
        <v>122</v>
      </c>
      <c r="AQ18" s="12"/>
      <c r="AR18" s="10">
        <v>1</v>
      </c>
      <c r="AS18" s="10"/>
      <c r="AT18" s="10"/>
      <c r="AU18" s="10">
        <v>1</v>
      </c>
      <c r="AV18" s="10">
        <v>1</v>
      </c>
      <c r="AW18" s="10"/>
      <c r="AX18" s="10"/>
      <c r="AY18" s="10"/>
      <c r="AZ18" s="11"/>
      <c r="BA18" s="11"/>
      <c r="BB18" s="10"/>
      <c r="BC18" s="10"/>
      <c r="BD18" s="10"/>
      <c r="BE18" s="10"/>
      <c r="BF18" s="10"/>
      <c r="BG18" s="10"/>
      <c r="BH18" s="10"/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/>
      <c r="BQ18" s="10"/>
      <c r="BR18" s="10"/>
      <c r="BS18" s="10"/>
      <c r="BT18" s="28"/>
    </row>
    <row r="19" spans="1:72" ht="17.25" customHeight="1" x14ac:dyDescent="0.3">
      <c r="A19" s="80"/>
      <c r="B19" s="41" t="s">
        <v>89</v>
      </c>
      <c r="C19" s="8" t="s">
        <v>90</v>
      </c>
      <c r="D19" s="8">
        <v>239</v>
      </c>
      <c r="E19" s="9">
        <v>1</v>
      </c>
      <c r="F19" s="9">
        <v>1</v>
      </c>
      <c r="G19" s="9">
        <v>1</v>
      </c>
      <c r="H19" s="9">
        <v>1</v>
      </c>
      <c r="I19" s="9">
        <v>1</v>
      </c>
      <c r="J19" s="9" t="s">
        <v>122</v>
      </c>
      <c r="K19" s="12"/>
      <c r="L19" s="12">
        <v>1</v>
      </c>
      <c r="M19" s="12">
        <v>1</v>
      </c>
      <c r="N19" s="9" t="s">
        <v>122</v>
      </c>
      <c r="O19" s="12">
        <v>1</v>
      </c>
      <c r="P19" s="12">
        <v>1</v>
      </c>
      <c r="Q19" s="9">
        <v>1</v>
      </c>
      <c r="R19" s="9" t="s">
        <v>125</v>
      </c>
      <c r="S19" s="9" t="s">
        <v>122</v>
      </c>
      <c r="T19" s="12">
        <v>0</v>
      </c>
      <c r="U19" s="9" t="s">
        <v>122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 t="s">
        <v>122</v>
      </c>
      <c r="AJ19" s="9" t="s">
        <v>122</v>
      </c>
      <c r="AK19" s="9" t="s">
        <v>122</v>
      </c>
      <c r="AL19" s="9">
        <v>0</v>
      </c>
      <c r="AM19" s="9">
        <v>0</v>
      </c>
      <c r="AN19" s="29"/>
      <c r="AO19" s="9" t="s">
        <v>122</v>
      </c>
      <c r="AP19" s="9" t="s">
        <v>122</v>
      </c>
      <c r="AQ19" s="12"/>
      <c r="AR19" s="10">
        <v>1</v>
      </c>
      <c r="AS19" s="10"/>
      <c r="AT19" s="10"/>
      <c r="AU19" s="10">
        <v>1</v>
      </c>
      <c r="AV19" s="10">
        <v>1</v>
      </c>
      <c r="AW19" s="10"/>
      <c r="AX19" s="10"/>
      <c r="AY19" s="10"/>
      <c r="AZ19" s="11"/>
      <c r="BA19" s="11"/>
      <c r="BB19" s="10"/>
      <c r="BC19" s="10"/>
      <c r="BD19" s="10"/>
      <c r="BE19" s="10"/>
      <c r="BF19" s="10"/>
      <c r="BG19" s="10"/>
      <c r="BH19" s="10"/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/>
      <c r="BQ19" s="10"/>
      <c r="BR19" s="10"/>
      <c r="BS19" s="10"/>
      <c r="BT19" s="28"/>
    </row>
    <row r="20" spans="1:72" ht="17.25" customHeight="1" x14ac:dyDescent="0.3">
      <c r="A20" s="80"/>
      <c r="B20" s="41" t="s">
        <v>89</v>
      </c>
      <c r="C20" s="8" t="s">
        <v>90</v>
      </c>
      <c r="D20" s="8">
        <v>240</v>
      </c>
      <c r="E20" s="9">
        <v>1</v>
      </c>
      <c r="F20" s="9">
        <v>1</v>
      </c>
      <c r="G20" s="9">
        <v>1</v>
      </c>
      <c r="H20" s="9">
        <v>1</v>
      </c>
      <c r="I20" s="9">
        <v>1</v>
      </c>
      <c r="J20" s="9" t="s">
        <v>122</v>
      </c>
      <c r="K20" s="12"/>
      <c r="L20" s="12">
        <v>1</v>
      </c>
      <c r="M20" s="12">
        <v>1</v>
      </c>
      <c r="N20" s="9" t="s">
        <v>122</v>
      </c>
      <c r="O20" s="12">
        <v>1</v>
      </c>
      <c r="P20" s="12">
        <v>1</v>
      </c>
      <c r="Q20" s="9">
        <v>1</v>
      </c>
      <c r="R20" s="9" t="s">
        <v>125</v>
      </c>
      <c r="S20" s="9" t="s">
        <v>122</v>
      </c>
      <c r="T20" s="12">
        <v>0</v>
      </c>
      <c r="U20" s="9" t="s">
        <v>122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 t="s">
        <v>122</v>
      </c>
      <c r="AJ20" s="9" t="s">
        <v>122</v>
      </c>
      <c r="AK20" s="9" t="s">
        <v>122</v>
      </c>
      <c r="AL20" s="9">
        <v>0</v>
      </c>
      <c r="AM20" s="9">
        <v>0</v>
      </c>
      <c r="AN20" s="29"/>
      <c r="AO20" s="9" t="s">
        <v>122</v>
      </c>
      <c r="AP20" s="9" t="s">
        <v>122</v>
      </c>
      <c r="AQ20" s="12"/>
      <c r="AR20" s="10">
        <v>1</v>
      </c>
      <c r="AS20" s="10"/>
      <c r="AT20" s="10"/>
      <c r="AU20" s="10">
        <v>1</v>
      </c>
      <c r="AV20" s="10">
        <v>1</v>
      </c>
      <c r="AW20" s="10"/>
      <c r="AX20" s="10"/>
      <c r="AY20" s="10"/>
      <c r="AZ20" s="11"/>
      <c r="BA20" s="11"/>
      <c r="BB20" s="10"/>
      <c r="BC20" s="10"/>
      <c r="BD20" s="10"/>
      <c r="BE20" s="10"/>
      <c r="BF20" s="10"/>
      <c r="BG20" s="10"/>
      <c r="BH20" s="10"/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/>
      <c r="BQ20" s="10"/>
      <c r="BR20" s="10"/>
      <c r="BS20" s="10"/>
      <c r="BT20" s="28"/>
    </row>
    <row r="21" spans="1:72" ht="17.25" customHeight="1" x14ac:dyDescent="0.3">
      <c r="A21" s="80"/>
      <c r="B21" s="42" t="s">
        <v>92</v>
      </c>
      <c r="C21" s="13" t="s">
        <v>90</v>
      </c>
      <c r="D21" s="13">
        <v>208</v>
      </c>
      <c r="E21" s="9">
        <v>1</v>
      </c>
      <c r="F21" s="9">
        <v>1</v>
      </c>
      <c r="G21" s="9">
        <v>1</v>
      </c>
      <c r="H21" s="9">
        <v>1</v>
      </c>
      <c r="I21" s="9">
        <v>1</v>
      </c>
      <c r="J21" s="14" t="s">
        <v>122</v>
      </c>
      <c r="K21" s="14"/>
      <c r="L21" s="14">
        <v>1</v>
      </c>
      <c r="M21" s="14">
        <v>1</v>
      </c>
      <c r="N21" s="14" t="s">
        <v>122</v>
      </c>
      <c r="O21" s="14">
        <v>1</v>
      </c>
      <c r="P21" s="14">
        <v>1</v>
      </c>
      <c r="Q21" s="9">
        <v>1</v>
      </c>
      <c r="R21" s="9" t="s">
        <v>125</v>
      </c>
      <c r="S21" s="14" t="s">
        <v>122</v>
      </c>
      <c r="T21" s="14">
        <v>0</v>
      </c>
      <c r="U21" s="14" t="s">
        <v>122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14" t="s">
        <v>122</v>
      </c>
      <c r="AJ21" s="14" t="s">
        <v>122</v>
      </c>
      <c r="AK21" s="14" t="s">
        <v>122</v>
      </c>
      <c r="AL21" s="9">
        <v>0</v>
      </c>
      <c r="AM21" s="9">
        <v>0</v>
      </c>
      <c r="AN21" s="30"/>
      <c r="AO21" s="14" t="s">
        <v>122</v>
      </c>
      <c r="AP21" s="14" t="s">
        <v>122</v>
      </c>
      <c r="AQ21" s="14"/>
      <c r="AR21" s="15">
        <v>1</v>
      </c>
      <c r="AS21" s="15"/>
      <c r="AT21" s="15"/>
      <c r="AU21" s="10">
        <v>1</v>
      </c>
      <c r="AV21" s="10">
        <v>1</v>
      </c>
      <c r="AW21" s="15"/>
      <c r="AX21" s="15"/>
      <c r="AY21" s="15"/>
      <c r="AZ21" s="16"/>
      <c r="BA21" s="16"/>
      <c r="BB21" s="15"/>
      <c r="BC21" s="15"/>
      <c r="BD21" s="15"/>
      <c r="BE21" s="15"/>
      <c r="BF21" s="15"/>
      <c r="BG21" s="15"/>
      <c r="BH21" s="15"/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5"/>
      <c r="BQ21" s="15"/>
      <c r="BR21" s="15"/>
      <c r="BS21" s="15"/>
      <c r="BT21" s="31"/>
    </row>
    <row r="22" spans="1:72" ht="17.25" customHeight="1" x14ac:dyDescent="0.3">
      <c r="A22" s="80"/>
      <c r="B22" s="42" t="s">
        <v>92</v>
      </c>
      <c r="C22" s="13" t="s">
        <v>91</v>
      </c>
      <c r="D22" s="13">
        <v>209</v>
      </c>
      <c r="E22" s="9">
        <v>1</v>
      </c>
      <c r="F22" s="9">
        <v>1</v>
      </c>
      <c r="G22" s="9">
        <v>1</v>
      </c>
      <c r="H22" s="9">
        <v>1</v>
      </c>
      <c r="I22" s="9">
        <v>1</v>
      </c>
      <c r="J22" s="14" t="s">
        <v>122</v>
      </c>
      <c r="K22" s="14"/>
      <c r="L22" s="14">
        <v>1</v>
      </c>
      <c r="M22" s="14">
        <v>1</v>
      </c>
      <c r="N22" s="14" t="s">
        <v>122</v>
      </c>
      <c r="O22" s="14">
        <v>1</v>
      </c>
      <c r="P22" s="14">
        <v>1</v>
      </c>
      <c r="Q22" s="9">
        <v>1</v>
      </c>
      <c r="R22" s="9" t="s">
        <v>125</v>
      </c>
      <c r="S22" s="14" t="s">
        <v>122</v>
      </c>
      <c r="T22" s="14">
        <v>0</v>
      </c>
      <c r="U22" s="14" t="s">
        <v>122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14" t="s">
        <v>122</v>
      </c>
      <c r="AJ22" s="14" t="s">
        <v>122</v>
      </c>
      <c r="AK22" s="14" t="s">
        <v>122</v>
      </c>
      <c r="AL22" s="9">
        <v>0</v>
      </c>
      <c r="AM22" s="9">
        <v>0</v>
      </c>
      <c r="AN22" s="30"/>
      <c r="AO22" s="14" t="s">
        <v>122</v>
      </c>
      <c r="AP22" s="14" t="s">
        <v>122</v>
      </c>
      <c r="AQ22" s="14"/>
      <c r="AR22" s="15">
        <v>1</v>
      </c>
      <c r="AS22" s="15"/>
      <c r="AT22" s="15"/>
      <c r="AU22" s="10">
        <v>1</v>
      </c>
      <c r="AV22" s="10">
        <v>1</v>
      </c>
      <c r="AW22" s="15"/>
      <c r="AX22" s="15"/>
      <c r="AY22" s="15"/>
      <c r="AZ22" s="16"/>
      <c r="BA22" s="16"/>
      <c r="BB22" s="15"/>
      <c r="BC22" s="15"/>
      <c r="BD22" s="15"/>
      <c r="BE22" s="15"/>
      <c r="BF22" s="15"/>
      <c r="BG22" s="15"/>
      <c r="BH22" s="15"/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5"/>
      <c r="BQ22" s="15"/>
      <c r="BR22" s="15"/>
      <c r="BS22" s="15"/>
      <c r="BT22" s="31"/>
    </row>
    <row r="23" spans="1:72" ht="17.25" customHeight="1" x14ac:dyDescent="0.3">
      <c r="A23" s="80"/>
      <c r="B23" s="42" t="s">
        <v>92</v>
      </c>
      <c r="C23" s="13" t="s">
        <v>91</v>
      </c>
      <c r="D23" s="13">
        <v>210</v>
      </c>
      <c r="E23" s="9">
        <v>1</v>
      </c>
      <c r="F23" s="9">
        <v>1</v>
      </c>
      <c r="G23" s="9">
        <v>1</v>
      </c>
      <c r="H23" s="9">
        <v>1</v>
      </c>
      <c r="I23" s="9">
        <v>1</v>
      </c>
      <c r="J23" s="14" t="s">
        <v>122</v>
      </c>
      <c r="K23" s="14"/>
      <c r="L23" s="14">
        <v>1</v>
      </c>
      <c r="M23" s="14">
        <v>1</v>
      </c>
      <c r="N23" s="14" t="s">
        <v>122</v>
      </c>
      <c r="O23" s="14"/>
      <c r="P23" s="14">
        <v>0.3</v>
      </c>
      <c r="Q23" s="9">
        <v>1</v>
      </c>
      <c r="R23" s="9" t="s">
        <v>125</v>
      </c>
      <c r="S23" s="14" t="s">
        <v>122</v>
      </c>
      <c r="T23" s="14">
        <v>0</v>
      </c>
      <c r="U23" s="14" t="s">
        <v>122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14" t="s">
        <v>122</v>
      </c>
      <c r="AJ23" s="14" t="s">
        <v>122</v>
      </c>
      <c r="AK23" s="14" t="s">
        <v>122</v>
      </c>
      <c r="AL23" s="9">
        <v>0</v>
      </c>
      <c r="AM23" s="9">
        <v>0</v>
      </c>
      <c r="AN23" s="30"/>
      <c r="AO23" s="14" t="s">
        <v>122</v>
      </c>
      <c r="AP23" s="14" t="s">
        <v>122</v>
      </c>
      <c r="AQ23" s="14"/>
      <c r="AR23" s="15">
        <v>1</v>
      </c>
      <c r="AS23" s="15"/>
      <c r="AT23" s="15"/>
      <c r="AU23" s="10">
        <v>1</v>
      </c>
      <c r="AV23" s="10">
        <v>1</v>
      </c>
      <c r="AW23" s="15"/>
      <c r="AX23" s="15"/>
      <c r="AY23" s="15"/>
      <c r="AZ23" s="16"/>
      <c r="BA23" s="16"/>
      <c r="BB23" s="15"/>
      <c r="BC23" s="15"/>
      <c r="BD23" s="15"/>
      <c r="BE23" s="15"/>
      <c r="BF23" s="15"/>
      <c r="BG23" s="15"/>
      <c r="BH23" s="15"/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5"/>
      <c r="BQ23" s="15"/>
      <c r="BR23" s="15"/>
      <c r="BS23" s="15"/>
      <c r="BT23" s="31"/>
    </row>
    <row r="24" spans="1:72" ht="17.25" customHeight="1" x14ac:dyDescent="0.3">
      <c r="A24" s="80"/>
      <c r="B24" s="42" t="s">
        <v>92</v>
      </c>
      <c r="C24" s="13" t="s">
        <v>90</v>
      </c>
      <c r="D24" s="13">
        <v>211</v>
      </c>
      <c r="E24" s="9">
        <v>1</v>
      </c>
      <c r="F24" s="9">
        <v>1</v>
      </c>
      <c r="G24" s="9">
        <v>1</v>
      </c>
      <c r="H24" s="9">
        <v>1</v>
      </c>
      <c r="I24" s="9">
        <v>1</v>
      </c>
      <c r="J24" s="14" t="s">
        <v>122</v>
      </c>
      <c r="K24" s="14"/>
      <c r="L24" s="14">
        <v>1</v>
      </c>
      <c r="M24" s="14">
        <v>1</v>
      </c>
      <c r="N24" s="14" t="s">
        <v>122</v>
      </c>
      <c r="O24" s="14"/>
      <c r="P24" s="14">
        <v>0.8</v>
      </c>
      <c r="Q24" s="9">
        <v>1</v>
      </c>
      <c r="R24" s="9" t="s">
        <v>125</v>
      </c>
      <c r="S24" s="14" t="s">
        <v>122</v>
      </c>
      <c r="T24" s="14">
        <v>0</v>
      </c>
      <c r="U24" s="14" t="s">
        <v>122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14" t="s">
        <v>122</v>
      </c>
      <c r="AJ24" s="14" t="s">
        <v>122</v>
      </c>
      <c r="AK24" s="14" t="s">
        <v>122</v>
      </c>
      <c r="AL24" s="9">
        <v>0</v>
      </c>
      <c r="AM24" s="9">
        <v>0</v>
      </c>
      <c r="AN24" s="30"/>
      <c r="AO24" s="14" t="s">
        <v>122</v>
      </c>
      <c r="AP24" s="14" t="s">
        <v>122</v>
      </c>
      <c r="AQ24" s="14"/>
      <c r="AR24" s="15">
        <v>1</v>
      </c>
      <c r="AS24" s="15"/>
      <c r="AT24" s="15"/>
      <c r="AU24" s="10">
        <v>1</v>
      </c>
      <c r="AV24" s="10">
        <v>1</v>
      </c>
      <c r="AW24" s="15"/>
      <c r="AX24" s="15"/>
      <c r="AY24" s="15"/>
      <c r="AZ24" s="16"/>
      <c r="BA24" s="16"/>
      <c r="BB24" s="15"/>
      <c r="BC24" s="15"/>
      <c r="BD24" s="15"/>
      <c r="BE24" s="15"/>
      <c r="BF24" s="15"/>
      <c r="BG24" s="15"/>
      <c r="BH24" s="15"/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5"/>
      <c r="BQ24" s="15"/>
      <c r="BR24" s="15"/>
      <c r="BS24" s="15"/>
      <c r="BT24" s="31"/>
    </row>
    <row r="25" spans="1:72" ht="17.25" customHeight="1" x14ac:dyDescent="0.3">
      <c r="A25" s="80"/>
      <c r="B25" s="42" t="s">
        <v>92</v>
      </c>
      <c r="C25" s="13" t="s">
        <v>91</v>
      </c>
      <c r="D25" s="13">
        <v>212</v>
      </c>
      <c r="E25" s="9">
        <v>1</v>
      </c>
      <c r="F25" s="9">
        <v>1</v>
      </c>
      <c r="G25" s="9">
        <v>1</v>
      </c>
      <c r="H25" s="9">
        <v>1</v>
      </c>
      <c r="I25" s="9">
        <v>1</v>
      </c>
      <c r="J25" s="14" t="s">
        <v>122</v>
      </c>
      <c r="K25" s="14"/>
      <c r="L25" s="14">
        <v>1</v>
      </c>
      <c r="M25" s="14">
        <v>1</v>
      </c>
      <c r="N25" s="14" t="s">
        <v>122</v>
      </c>
      <c r="O25" s="14">
        <v>1</v>
      </c>
      <c r="P25" s="14">
        <v>1</v>
      </c>
      <c r="Q25" s="9">
        <v>1</v>
      </c>
      <c r="R25" s="9" t="s">
        <v>125</v>
      </c>
      <c r="S25" s="14" t="s">
        <v>122</v>
      </c>
      <c r="T25" s="14">
        <v>0</v>
      </c>
      <c r="U25" s="14" t="s">
        <v>122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14" t="s">
        <v>122</v>
      </c>
      <c r="AJ25" s="14" t="s">
        <v>122</v>
      </c>
      <c r="AK25" s="14" t="s">
        <v>122</v>
      </c>
      <c r="AL25" s="9">
        <v>0</v>
      </c>
      <c r="AM25" s="9">
        <v>0</v>
      </c>
      <c r="AN25" s="30"/>
      <c r="AO25" s="14" t="s">
        <v>122</v>
      </c>
      <c r="AP25" s="14" t="s">
        <v>122</v>
      </c>
      <c r="AQ25" s="14"/>
      <c r="AR25" s="15">
        <v>1</v>
      </c>
      <c r="AS25" s="15"/>
      <c r="AT25" s="15"/>
      <c r="AU25" s="10">
        <v>1</v>
      </c>
      <c r="AV25" s="10">
        <v>1</v>
      </c>
      <c r="AW25" s="15"/>
      <c r="AX25" s="15"/>
      <c r="AY25" s="15"/>
      <c r="AZ25" s="16"/>
      <c r="BA25" s="16"/>
      <c r="BB25" s="15"/>
      <c r="BC25" s="15"/>
      <c r="BD25" s="15"/>
      <c r="BE25" s="15"/>
      <c r="BF25" s="15"/>
      <c r="BG25" s="15"/>
      <c r="BH25" s="15"/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5"/>
      <c r="BQ25" s="15"/>
      <c r="BR25" s="15"/>
      <c r="BS25" s="15"/>
      <c r="BT25" s="31"/>
    </row>
    <row r="26" spans="1:72" ht="17.25" customHeight="1" x14ac:dyDescent="0.3">
      <c r="A26" s="80"/>
      <c r="B26" s="42" t="s">
        <v>92</v>
      </c>
      <c r="C26" s="13" t="s">
        <v>90</v>
      </c>
      <c r="D26" s="13">
        <v>213</v>
      </c>
      <c r="E26" s="9">
        <v>1</v>
      </c>
      <c r="F26" s="9">
        <v>1</v>
      </c>
      <c r="G26" s="9">
        <v>1</v>
      </c>
      <c r="H26" s="9">
        <v>1</v>
      </c>
      <c r="I26" s="9">
        <v>1</v>
      </c>
      <c r="J26" s="14" t="s">
        <v>122</v>
      </c>
      <c r="K26" s="14"/>
      <c r="L26" s="14">
        <v>1</v>
      </c>
      <c r="M26" s="14">
        <v>1</v>
      </c>
      <c r="N26" s="14" t="s">
        <v>122</v>
      </c>
      <c r="O26" s="14">
        <v>1</v>
      </c>
      <c r="P26" s="14">
        <v>1</v>
      </c>
      <c r="Q26" s="9">
        <v>1</v>
      </c>
      <c r="R26" s="9" t="s">
        <v>125</v>
      </c>
      <c r="S26" s="14" t="s">
        <v>122</v>
      </c>
      <c r="T26" s="14">
        <v>0</v>
      </c>
      <c r="U26" s="14" t="s">
        <v>122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14" t="s">
        <v>122</v>
      </c>
      <c r="AJ26" s="14" t="s">
        <v>122</v>
      </c>
      <c r="AK26" s="14" t="s">
        <v>122</v>
      </c>
      <c r="AL26" s="9">
        <v>0</v>
      </c>
      <c r="AM26" s="9">
        <v>0</v>
      </c>
      <c r="AN26" s="30"/>
      <c r="AO26" s="14" t="s">
        <v>122</v>
      </c>
      <c r="AP26" s="14" t="s">
        <v>122</v>
      </c>
      <c r="AQ26" s="14"/>
      <c r="AR26" s="15">
        <v>1</v>
      </c>
      <c r="AS26" s="15"/>
      <c r="AT26" s="15"/>
      <c r="AU26" s="10">
        <v>1</v>
      </c>
      <c r="AV26" s="10">
        <v>1</v>
      </c>
      <c r="AW26" s="15"/>
      <c r="AX26" s="15"/>
      <c r="AY26" s="15"/>
      <c r="AZ26" s="16"/>
      <c r="BA26" s="16"/>
      <c r="BB26" s="15"/>
      <c r="BC26" s="15"/>
      <c r="BD26" s="15"/>
      <c r="BE26" s="15"/>
      <c r="BF26" s="15"/>
      <c r="BG26" s="15"/>
      <c r="BH26" s="15"/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5"/>
      <c r="BQ26" s="15"/>
      <c r="BR26" s="15"/>
      <c r="BS26" s="15"/>
      <c r="BT26" s="31"/>
    </row>
    <row r="27" spans="1:72" ht="17.25" customHeight="1" x14ac:dyDescent="0.3">
      <c r="A27" s="80"/>
      <c r="B27" s="42" t="s">
        <v>92</v>
      </c>
      <c r="C27" s="13" t="s">
        <v>93</v>
      </c>
      <c r="D27" s="13">
        <v>214</v>
      </c>
      <c r="E27" s="9">
        <v>1</v>
      </c>
      <c r="F27" s="9">
        <v>1</v>
      </c>
      <c r="G27" s="9">
        <v>1</v>
      </c>
      <c r="H27" s="9">
        <v>1</v>
      </c>
      <c r="I27" s="9">
        <v>1</v>
      </c>
      <c r="J27" s="14" t="s">
        <v>122</v>
      </c>
      <c r="K27" s="14">
        <v>0.8</v>
      </c>
      <c r="L27" s="14">
        <v>1</v>
      </c>
      <c r="M27" s="14">
        <v>1</v>
      </c>
      <c r="N27" s="14" t="s">
        <v>122</v>
      </c>
      <c r="O27" s="14">
        <v>0</v>
      </c>
      <c r="P27" s="14">
        <v>0</v>
      </c>
      <c r="Q27" s="9">
        <v>0</v>
      </c>
      <c r="R27" s="9" t="s">
        <v>125</v>
      </c>
      <c r="S27" s="14" t="s">
        <v>122</v>
      </c>
      <c r="T27" s="14">
        <v>0</v>
      </c>
      <c r="U27" s="14" t="s">
        <v>122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14" t="s">
        <v>122</v>
      </c>
      <c r="AJ27" s="14" t="s">
        <v>122</v>
      </c>
      <c r="AK27" s="14" t="s">
        <v>122</v>
      </c>
      <c r="AL27" s="9">
        <v>0</v>
      </c>
      <c r="AM27" s="9">
        <v>0</v>
      </c>
      <c r="AN27" s="30">
        <v>0.8</v>
      </c>
      <c r="AO27" s="14" t="s">
        <v>122</v>
      </c>
      <c r="AP27" s="14" t="s">
        <v>122</v>
      </c>
      <c r="AQ27" s="14">
        <v>0.8</v>
      </c>
      <c r="AR27" s="15">
        <v>1</v>
      </c>
      <c r="AS27" s="15">
        <v>0.3</v>
      </c>
      <c r="AT27" s="15">
        <v>1</v>
      </c>
      <c r="AU27" s="10">
        <v>1</v>
      </c>
      <c r="AV27" s="10">
        <v>1</v>
      </c>
      <c r="AW27" s="15"/>
      <c r="AX27" s="15">
        <v>0.3</v>
      </c>
      <c r="AY27" s="15">
        <v>0</v>
      </c>
      <c r="AZ27" s="16">
        <v>0</v>
      </c>
      <c r="BA27" s="16">
        <v>0</v>
      </c>
      <c r="BB27" s="15"/>
      <c r="BC27" s="15"/>
      <c r="BD27" s="15"/>
      <c r="BE27" s="15"/>
      <c r="BF27" s="15"/>
      <c r="BG27" s="15"/>
      <c r="BH27" s="15"/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5"/>
      <c r="BQ27" s="15"/>
      <c r="BR27" s="15"/>
      <c r="BS27" s="15"/>
      <c r="BT27" s="31"/>
    </row>
    <row r="28" spans="1:72" ht="16.95" customHeight="1" x14ac:dyDescent="0.3">
      <c r="A28" s="80"/>
      <c r="B28" s="42" t="s">
        <v>92</v>
      </c>
      <c r="C28" s="13" t="s">
        <v>90</v>
      </c>
      <c r="D28" s="13">
        <v>215</v>
      </c>
      <c r="E28" s="9">
        <v>1</v>
      </c>
      <c r="F28" s="9">
        <v>1</v>
      </c>
      <c r="G28" s="9">
        <v>1</v>
      </c>
      <c r="H28" s="9">
        <v>1</v>
      </c>
      <c r="I28" s="9">
        <v>1</v>
      </c>
      <c r="J28" s="14" t="s">
        <v>122</v>
      </c>
      <c r="K28" s="14">
        <v>0.9</v>
      </c>
      <c r="L28" s="14">
        <v>1</v>
      </c>
      <c r="M28" s="14" t="s">
        <v>128</v>
      </c>
      <c r="N28" s="14" t="s">
        <v>122</v>
      </c>
      <c r="O28" s="14">
        <v>0.3</v>
      </c>
      <c r="P28" s="14">
        <v>0</v>
      </c>
      <c r="Q28" s="9">
        <v>0</v>
      </c>
      <c r="R28" s="9" t="s">
        <v>125</v>
      </c>
      <c r="S28" s="14" t="s">
        <v>122</v>
      </c>
      <c r="T28" s="14">
        <v>0</v>
      </c>
      <c r="U28" s="14" t="s">
        <v>122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14" t="s">
        <v>122</v>
      </c>
      <c r="AJ28" s="14" t="s">
        <v>122</v>
      </c>
      <c r="AK28" s="14" t="s">
        <v>122</v>
      </c>
      <c r="AL28" s="9">
        <v>0</v>
      </c>
      <c r="AM28" s="9">
        <v>0</v>
      </c>
      <c r="AN28" s="30">
        <v>0.85</v>
      </c>
      <c r="AO28" s="14">
        <v>1</v>
      </c>
      <c r="AP28" s="14" t="s">
        <v>122</v>
      </c>
      <c r="AQ28" s="14">
        <v>0.6</v>
      </c>
      <c r="AR28" s="15">
        <v>0</v>
      </c>
      <c r="AS28" s="15">
        <v>0.8</v>
      </c>
      <c r="AT28" s="15">
        <v>1</v>
      </c>
      <c r="AU28" s="10">
        <v>1</v>
      </c>
      <c r="AV28" s="10">
        <v>1</v>
      </c>
      <c r="AW28" s="15" t="s">
        <v>125</v>
      </c>
      <c r="AX28" s="15">
        <v>0.55000000000000004</v>
      </c>
      <c r="AY28" s="15">
        <v>0.3</v>
      </c>
      <c r="AZ28" s="16">
        <v>0</v>
      </c>
      <c r="BA28" s="16">
        <v>1</v>
      </c>
      <c r="BB28" s="15">
        <v>0</v>
      </c>
      <c r="BC28" s="15">
        <v>0</v>
      </c>
      <c r="BD28" s="15">
        <v>0</v>
      </c>
      <c r="BE28" s="15" t="s">
        <v>127</v>
      </c>
      <c r="BF28" s="15"/>
      <c r="BG28" s="15">
        <v>0</v>
      </c>
      <c r="BH28" s="15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5"/>
      <c r="BQ28" s="15"/>
      <c r="BR28" s="15"/>
      <c r="BS28" s="15"/>
      <c r="BT28" s="31"/>
    </row>
    <row r="29" spans="1:72" ht="17.25" customHeight="1" x14ac:dyDescent="0.3">
      <c r="A29" s="80"/>
      <c r="B29" s="42" t="s">
        <v>92</v>
      </c>
      <c r="C29" s="13" t="s">
        <v>90</v>
      </c>
      <c r="D29" s="13">
        <v>216</v>
      </c>
      <c r="E29" s="9">
        <v>1</v>
      </c>
      <c r="F29" s="9">
        <v>1</v>
      </c>
      <c r="G29" s="9">
        <v>1</v>
      </c>
      <c r="H29" s="9">
        <v>1</v>
      </c>
      <c r="I29" s="9">
        <v>1</v>
      </c>
      <c r="J29" s="14" t="s">
        <v>122</v>
      </c>
      <c r="K29" s="14">
        <v>0.8</v>
      </c>
      <c r="L29" s="14">
        <v>1</v>
      </c>
      <c r="M29" s="14">
        <v>1</v>
      </c>
      <c r="N29" s="14" t="s">
        <v>122</v>
      </c>
      <c r="O29" s="14">
        <v>0.3</v>
      </c>
      <c r="P29" s="14">
        <v>0</v>
      </c>
      <c r="Q29" s="9">
        <v>0</v>
      </c>
      <c r="R29" s="9" t="s">
        <v>125</v>
      </c>
      <c r="S29" s="14" t="s">
        <v>122</v>
      </c>
      <c r="T29" s="14">
        <v>0</v>
      </c>
      <c r="U29" s="14" t="s">
        <v>122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14" t="s">
        <v>122</v>
      </c>
      <c r="AJ29" s="14" t="s">
        <v>122</v>
      </c>
      <c r="AK29" s="14" t="s">
        <v>122</v>
      </c>
      <c r="AL29" s="9">
        <v>0</v>
      </c>
      <c r="AM29" s="9">
        <v>0</v>
      </c>
      <c r="AN29" s="30">
        <v>0.85</v>
      </c>
      <c r="AO29" s="14">
        <v>1</v>
      </c>
      <c r="AP29" s="14" t="s">
        <v>122</v>
      </c>
      <c r="AQ29" s="14">
        <v>0.7</v>
      </c>
      <c r="AR29" s="15">
        <v>0</v>
      </c>
      <c r="AS29" s="15">
        <v>1</v>
      </c>
      <c r="AT29" s="15">
        <v>1</v>
      </c>
      <c r="AU29" s="10">
        <v>1</v>
      </c>
      <c r="AV29" s="10">
        <v>1</v>
      </c>
      <c r="AW29" s="15" t="s">
        <v>129</v>
      </c>
      <c r="AX29" s="15">
        <v>0.7</v>
      </c>
      <c r="AY29" s="15">
        <v>0.7</v>
      </c>
      <c r="AZ29" s="16">
        <v>0</v>
      </c>
      <c r="BA29" s="16">
        <v>1</v>
      </c>
      <c r="BB29" s="15">
        <v>0</v>
      </c>
      <c r="BC29" s="15">
        <v>0</v>
      </c>
      <c r="BD29" s="15">
        <v>0.5</v>
      </c>
      <c r="BE29" s="15" t="s">
        <v>127</v>
      </c>
      <c r="BF29" s="15"/>
      <c r="BG29" s="15">
        <v>0</v>
      </c>
      <c r="BH29" s="15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5"/>
      <c r="BQ29" s="15"/>
      <c r="BR29" s="15"/>
      <c r="BS29" s="15">
        <v>0</v>
      </c>
      <c r="BT29" s="31">
        <v>0</v>
      </c>
    </row>
    <row r="30" spans="1:72" ht="17.25" customHeight="1" x14ac:dyDescent="0.3">
      <c r="A30" s="80"/>
      <c r="B30" s="42" t="s">
        <v>92</v>
      </c>
      <c r="C30" s="13" t="s">
        <v>91</v>
      </c>
      <c r="D30" s="13">
        <v>217</v>
      </c>
      <c r="E30" s="9">
        <v>1</v>
      </c>
      <c r="F30" s="9">
        <v>1</v>
      </c>
      <c r="G30" s="9">
        <v>1</v>
      </c>
      <c r="H30" s="9">
        <v>1</v>
      </c>
      <c r="I30" s="9">
        <v>1</v>
      </c>
      <c r="J30" s="14" t="s">
        <v>122</v>
      </c>
      <c r="K30" s="14">
        <v>0.8</v>
      </c>
      <c r="L30" s="14">
        <v>0</v>
      </c>
      <c r="M30" s="14">
        <v>0</v>
      </c>
      <c r="N30" s="14" t="s">
        <v>122</v>
      </c>
      <c r="O30" s="14">
        <v>0</v>
      </c>
      <c r="P30" s="14">
        <v>0</v>
      </c>
      <c r="Q30" s="9">
        <v>0</v>
      </c>
      <c r="R30" s="9" t="s">
        <v>125</v>
      </c>
      <c r="S30" s="14" t="s">
        <v>122</v>
      </c>
      <c r="T30" s="14">
        <v>0</v>
      </c>
      <c r="U30" s="14" t="s">
        <v>122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14" t="s">
        <v>122</v>
      </c>
      <c r="AJ30" s="14" t="s">
        <v>122</v>
      </c>
      <c r="AK30" s="14" t="s">
        <v>122</v>
      </c>
      <c r="AL30" s="9">
        <v>0</v>
      </c>
      <c r="AM30" s="9">
        <v>0</v>
      </c>
      <c r="AN30" s="30">
        <v>1</v>
      </c>
      <c r="AO30" s="14">
        <v>1</v>
      </c>
      <c r="AP30" s="14" t="s">
        <v>122</v>
      </c>
      <c r="AQ30" s="14">
        <v>0.6</v>
      </c>
      <c r="AR30" s="15">
        <v>1</v>
      </c>
      <c r="AS30" s="15">
        <v>1</v>
      </c>
      <c r="AT30" s="15">
        <v>1</v>
      </c>
      <c r="AU30" s="10">
        <v>1</v>
      </c>
      <c r="AV30" s="10">
        <v>1</v>
      </c>
      <c r="AW30" s="15" t="s">
        <v>125</v>
      </c>
      <c r="AX30" s="15">
        <v>0</v>
      </c>
      <c r="AY30" s="15">
        <v>0</v>
      </c>
      <c r="AZ30" s="16">
        <v>0</v>
      </c>
      <c r="BA30" s="16">
        <v>1</v>
      </c>
      <c r="BB30" s="15">
        <v>0</v>
      </c>
      <c r="BC30" s="15">
        <v>0</v>
      </c>
      <c r="BD30" s="15">
        <v>0.5</v>
      </c>
      <c r="BE30" s="15">
        <v>1</v>
      </c>
      <c r="BF30" s="15">
        <v>1</v>
      </c>
      <c r="BG30" s="15">
        <v>0</v>
      </c>
      <c r="BH30" s="15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5">
        <v>0</v>
      </c>
      <c r="BQ30" s="15">
        <v>0</v>
      </c>
      <c r="BR30" s="15">
        <v>0</v>
      </c>
      <c r="BS30" s="15">
        <v>0</v>
      </c>
      <c r="BT30" s="31">
        <v>0</v>
      </c>
    </row>
    <row r="31" spans="1:72" ht="17.25" customHeight="1" x14ac:dyDescent="0.3">
      <c r="A31" s="80"/>
      <c r="B31" s="42" t="s">
        <v>92</v>
      </c>
      <c r="C31" s="13" t="s">
        <v>90</v>
      </c>
      <c r="D31" s="13">
        <v>221</v>
      </c>
      <c r="E31" s="9">
        <v>1</v>
      </c>
      <c r="F31" s="9">
        <v>1</v>
      </c>
      <c r="G31" s="9">
        <v>1</v>
      </c>
      <c r="H31" s="9">
        <v>1</v>
      </c>
      <c r="I31" s="9">
        <v>1</v>
      </c>
      <c r="J31" s="14" t="s">
        <v>122</v>
      </c>
      <c r="K31" s="14"/>
      <c r="L31" s="14">
        <v>1</v>
      </c>
      <c r="M31" s="14"/>
      <c r="N31" s="14" t="s">
        <v>122</v>
      </c>
      <c r="O31" s="14"/>
      <c r="P31" s="14">
        <v>0</v>
      </c>
      <c r="Q31" s="9">
        <v>1</v>
      </c>
      <c r="R31" s="9" t="s">
        <v>125</v>
      </c>
      <c r="S31" s="14" t="s">
        <v>122</v>
      </c>
      <c r="T31" s="14">
        <v>0</v>
      </c>
      <c r="U31" s="14" t="s">
        <v>122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14" t="s">
        <v>122</v>
      </c>
      <c r="AJ31" s="14" t="s">
        <v>122</v>
      </c>
      <c r="AK31" s="14" t="s">
        <v>122</v>
      </c>
      <c r="AL31" s="9">
        <v>0</v>
      </c>
      <c r="AM31" s="9">
        <v>0</v>
      </c>
      <c r="AN31" s="30"/>
      <c r="AO31" s="14" t="s">
        <v>122</v>
      </c>
      <c r="AP31" s="14" t="s">
        <v>122</v>
      </c>
      <c r="AQ31" s="14"/>
      <c r="AR31" s="15">
        <v>1</v>
      </c>
      <c r="AS31" s="15"/>
      <c r="AT31" s="15"/>
      <c r="AU31" s="10">
        <v>1</v>
      </c>
      <c r="AV31" s="10">
        <v>1</v>
      </c>
      <c r="AW31" s="15"/>
      <c r="AX31" s="15"/>
      <c r="AY31" s="15"/>
      <c r="AZ31" s="16"/>
      <c r="BA31" s="16"/>
      <c r="BB31" s="15"/>
      <c r="BC31" s="15"/>
      <c r="BD31" s="15"/>
      <c r="BE31" s="15"/>
      <c r="BF31" s="15"/>
      <c r="BG31" s="15"/>
      <c r="BH31" s="15"/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5"/>
      <c r="BQ31" s="15"/>
      <c r="BR31" s="15"/>
      <c r="BS31" s="15"/>
      <c r="BT31" s="31"/>
    </row>
    <row r="32" spans="1:72" ht="17.25" customHeight="1" x14ac:dyDescent="0.3">
      <c r="A32" s="80"/>
      <c r="B32" s="42" t="s">
        <v>92</v>
      </c>
      <c r="C32" s="13" t="s">
        <v>90</v>
      </c>
      <c r="D32" s="13">
        <v>222</v>
      </c>
      <c r="E32" s="9">
        <v>1</v>
      </c>
      <c r="F32" s="9">
        <v>1</v>
      </c>
      <c r="G32" s="9">
        <v>1</v>
      </c>
      <c r="H32" s="9">
        <v>1</v>
      </c>
      <c r="I32" s="9">
        <v>1</v>
      </c>
      <c r="J32" s="14" t="s">
        <v>122</v>
      </c>
      <c r="K32" s="14"/>
      <c r="L32" s="14">
        <v>1</v>
      </c>
      <c r="M32" s="14">
        <v>1</v>
      </c>
      <c r="N32" s="14" t="s">
        <v>122</v>
      </c>
      <c r="O32" s="14">
        <v>1</v>
      </c>
      <c r="P32" s="14">
        <v>1</v>
      </c>
      <c r="Q32" s="9">
        <v>1</v>
      </c>
      <c r="R32" s="9" t="s">
        <v>125</v>
      </c>
      <c r="S32" s="14" t="s">
        <v>122</v>
      </c>
      <c r="T32" s="14">
        <v>0</v>
      </c>
      <c r="U32" s="14" t="s">
        <v>122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">
        <v>0</v>
      </c>
      <c r="AE32" s="9">
        <v>0</v>
      </c>
      <c r="AF32" s="9">
        <v>0</v>
      </c>
      <c r="AG32" s="9">
        <v>0</v>
      </c>
      <c r="AH32" s="9">
        <v>0</v>
      </c>
      <c r="AI32" s="14" t="s">
        <v>122</v>
      </c>
      <c r="AJ32" s="14" t="s">
        <v>122</v>
      </c>
      <c r="AK32" s="14" t="s">
        <v>122</v>
      </c>
      <c r="AL32" s="9">
        <v>0</v>
      </c>
      <c r="AM32" s="9">
        <v>0</v>
      </c>
      <c r="AN32" s="30"/>
      <c r="AO32" s="14" t="s">
        <v>122</v>
      </c>
      <c r="AP32" s="14" t="s">
        <v>122</v>
      </c>
      <c r="AQ32" s="14"/>
      <c r="AR32" s="15">
        <v>1</v>
      </c>
      <c r="AS32" s="15"/>
      <c r="AT32" s="15"/>
      <c r="AU32" s="10">
        <v>1</v>
      </c>
      <c r="AV32" s="10">
        <v>1</v>
      </c>
      <c r="AW32" s="15"/>
      <c r="AX32" s="15"/>
      <c r="AY32" s="15"/>
      <c r="AZ32" s="16"/>
      <c r="BA32" s="16"/>
      <c r="BB32" s="15"/>
      <c r="BC32" s="15"/>
      <c r="BD32" s="15"/>
      <c r="BE32" s="15"/>
      <c r="BF32" s="15"/>
      <c r="BG32" s="15"/>
      <c r="BH32" s="15"/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5"/>
      <c r="BQ32" s="15"/>
      <c r="BR32" s="15"/>
      <c r="BS32" s="15"/>
      <c r="BT32" s="31"/>
    </row>
    <row r="33" spans="1:72" ht="17.25" customHeight="1" x14ac:dyDescent="0.3">
      <c r="A33" s="80"/>
      <c r="B33" s="43" t="s">
        <v>94</v>
      </c>
      <c r="C33" s="17" t="s">
        <v>90</v>
      </c>
      <c r="D33" s="17">
        <v>223</v>
      </c>
      <c r="E33" s="9">
        <v>1</v>
      </c>
      <c r="F33" s="9">
        <v>1</v>
      </c>
      <c r="G33" s="9">
        <v>1</v>
      </c>
      <c r="H33" s="9">
        <v>1</v>
      </c>
      <c r="I33" s="9">
        <v>1</v>
      </c>
      <c r="J33" s="18" t="s">
        <v>122</v>
      </c>
      <c r="K33" s="18"/>
      <c r="L33" s="18">
        <v>1</v>
      </c>
      <c r="M33" s="18"/>
      <c r="N33" s="18" t="s">
        <v>122</v>
      </c>
      <c r="O33" s="18"/>
      <c r="P33" s="18">
        <v>0</v>
      </c>
      <c r="Q33" s="9">
        <v>1</v>
      </c>
      <c r="R33" s="9" t="s">
        <v>125</v>
      </c>
      <c r="S33" s="18" t="s">
        <v>122</v>
      </c>
      <c r="T33" s="18">
        <v>0</v>
      </c>
      <c r="U33" s="18" t="s">
        <v>122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18" t="s">
        <v>122</v>
      </c>
      <c r="AJ33" s="18" t="s">
        <v>122</v>
      </c>
      <c r="AK33" s="18" t="s">
        <v>122</v>
      </c>
      <c r="AL33" s="9">
        <v>0</v>
      </c>
      <c r="AM33" s="9">
        <v>0</v>
      </c>
      <c r="AN33" s="32"/>
      <c r="AO33" s="18" t="s">
        <v>122</v>
      </c>
      <c r="AP33" s="18" t="s">
        <v>122</v>
      </c>
      <c r="AQ33" s="18"/>
      <c r="AR33" s="19">
        <v>1</v>
      </c>
      <c r="AS33" s="19">
        <v>1</v>
      </c>
      <c r="AT33" s="19">
        <v>1</v>
      </c>
      <c r="AU33" s="10">
        <v>1</v>
      </c>
      <c r="AV33" s="10">
        <v>1</v>
      </c>
      <c r="AW33" s="19"/>
      <c r="AX33" s="19">
        <v>1</v>
      </c>
      <c r="AY33" s="19">
        <v>1</v>
      </c>
      <c r="AZ33" s="20">
        <v>1</v>
      </c>
      <c r="BA33" s="20">
        <v>1</v>
      </c>
      <c r="BB33" s="19">
        <v>0</v>
      </c>
      <c r="BC33" s="19">
        <v>0</v>
      </c>
      <c r="BD33" s="19">
        <v>0.5</v>
      </c>
      <c r="BE33" s="19">
        <v>1</v>
      </c>
      <c r="BF33" s="19">
        <v>0</v>
      </c>
      <c r="BG33" s="19">
        <v>0</v>
      </c>
      <c r="BH33" s="19"/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9"/>
      <c r="BQ33" s="19"/>
      <c r="BR33" s="19"/>
      <c r="BS33" s="19"/>
      <c r="BT33" s="33"/>
    </row>
    <row r="34" spans="1:72" ht="17.25" customHeight="1" x14ac:dyDescent="0.3">
      <c r="A34" s="80"/>
      <c r="B34" s="43" t="s">
        <v>94</v>
      </c>
      <c r="C34" s="17" t="s">
        <v>90</v>
      </c>
      <c r="D34" s="17">
        <v>224</v>
      </c>
      <c r="E34" s="9">
        <v>1</v>
      </c>
      <c r="F34" s="9">
        <v>1</v>
      </c>
      <c r="G34" s="9">
        <v>1</v>
      </c>
      <c r="H34" s="9">
        <v>1</v>
      </c>
      <c r="I34" s="9">
        <v>1</v>
      </c>
      <c r="J34" s="18" t="s">
        <v>122</v>
      </c>
      <c r="K34" s="18"/>
      <c r="L34" s="18">
        <v>1</v>
      </c>
      <c r="M34" s="18"/>
      <c r="N34" s="18" t="s">
        <v>122</v>
      </c>
      <c r="O34" s="18"/>
      <c r="P34" s="18">
        <v>0</v>
      </c>
      <c r="Q34" s="9">
        <v>1</v>
      </c>
      <c r="R34" s="9" t="s">
        <v>125</v>
      </c>
      <c r="S34" s="18" t="s">
        <v>122</v>
      </c>
      <c r="T34" s="18">
        <v>0</v>
      </c>
      <c r="U34" s="18" t="s">
        <v>122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  <c r="AE34" s="9">
        <v>0</v>
      </c>
      <c r="AF34" s="9">
        <v>0</v>
      </c>
      <c r="AG34" s="9">
        <v>0</v>
      </c>
      <c r="AH34" s="9">
        <v>0</v>
      </c>
      <c r="AI34" s="18" t="s">
        <v>122</v>
      </c>
      <c r="AJ34" s="18" t="s">
        <v>122</v>
      </c>
      <c r="AK34" s="18" t="s">
        <v>122</v>
      </c>
      <c r="AL34" s="9">
        <v>0</v>
      </c>
      <c r="AM34" s="9">
        <v>0</v>
      </c>
      <c r="AN34" s="32"/>
      <c r="AO34" s="18" t="s">
        <v>122</v>
      </c>
      <c r="AP34" s="18" t="s">
        <v>122</v>
      </c>
      <c r="AQ34" s="18"/>
      <c r="AR34" s="19">
        <v>1</v>
      </c>
      <c r="AS34" s="19">
        <v>1</v>
      </c>
      <c r="AT34" s="19">
        <v>1</v>
      </c>
      <c r="AU34" s="10">
        <v>1</v>
      </c>
      <c r="AV34" s="10">
        <v>1</v>
      </c>
      <c r="AW34" s="19"/>
      <c r="AX34" s="19">
        <v>1</v>
      </c>
      <c r="AY34" s="19">
        <v>1</v>
      </c>
      <c r="AZ34" s="20">
        <v>1</v>
      </c>
      <c r="BA34" s="20">
        <v>1</v>
      </c>
      <c r="BB34" s="19">
        <v>0</v>
      </c>
      <c r="BC34" s="19">
        <v>0</v>
      </c>
      <c r="BD34" s="19">
        <v>1</v>
      </c>
      <c r="BE34" s="19">
        <v>1</v>
      </c>
      <c r="BF34" s="19">
        <v>0</v>
      </c>
      <c r="BG34" s="19">
        <v>0</v>
      </c>
      <c r="BH34" s="19"/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9"/>
      <c r="BQ34" s="19"/>
      <c r="BR34" s="19"/>
      <c r="BS34" s="19"/>
      <c r="BT34" s="33"/>
    </row>
    <row r="35" spans="1:72" ht="17.25" customHeight="1" x14ac:dyDescent="0.3">
      <c r="A35" s="80"/>
      <c r="B35" s="43" t="s">
        <v>94</v>
      </c>
      <c r="C35" s="17" t="s">
        <v>90</v>
      </c>
      <c r="D35" s="17">
        <v>225</v>
      </c>
      <c r="E35" s="9">
        <v>1</v>
      </c>
      <c r="F35" s="9">
        <v>1</v>
      </c>
      <c r="G35" s="9">
        <v>1</v>
      </c>
      <c r="H35" s="9">
        <v>1</v>
      </c>
      <c r="I35" s="9">
        <v>1</v>
      </c>
      <c r="J35" s="18" t="s">
        <v>122</v>
      </c>
      <c r="K35" s="18"/>
      <c r="L35" s="18">
        <v>1</v>
      </c>
      <c r="M35" s="18"/>
      <c r="N35" s="18" t="s">
        <v>122</v>
      </c>
      <c r="O35" s="18"/>
      <c r="P35" s="18">
        <v>0</v>
      </c>
      <c r="Q35" s="9">
        <v>1</v>
      </c>
      <c r="R35" s="9" t="s">
        <v>125</v>
      </c>
      <c r="S35" s="18" t="s">
        <v>122</v>
      </c>
      <c r="T35" s="18">
        <v>0</v>
      </c>
      <c r="U35" s="18" t="s">
        <v>122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18" t="s">
        <v>122</v>
      </c>
      <c r="AJ35" s="18" t="s">
        <v>122</v>
      </c>
      <c r="AK35" s="18" t="s">
        <v>122</v>
      </c>
      <c r="AL35" s="9">
        <v>0</v>
      </c>
      <c r="AM35" s="9">
        <v>0</v>
      </c>
      <c r="AN35" s="32"/>
      <c r="AO35" s="18" t="s">
        <v>122</v>
      </c>
      <c r="AP35" s="18" t="s">
        <v>122</v>
      </c>
      <c r="AQ35" s="18"/>
      <c r="AR35" s="19">
        <v>1</v>
      </c>
      <c r="AS35" s="19">
        <v>1</v>
      </c>
      <c r="AT35" s="19">
        <v>1</v>
      </c>
      <c r="AU35" s="10">
        <v>1</v>
      </c>
      <c r="AV35" s="10">
        <v>1</v>
      </c>
      <c r="AW35" s="19"/>
      <c r="AX35" s="19">
        <v>1</v>
      </c>
      <c r="AY35" s="19">
        <v>1</v>
      </c>
      <c r="AZ35" s="20">
        <v>1</v>
      </c>
      <c r="BA35" s="20">
        <v>1</v>
      </c>
      <c r="BB35" s="19">
        <v>0</v>
      </c>
      <c r="BC35" s="19">
        <v>0</v>
      </c>
      <c r="BD35" s="19">
        <v>1</v>
      </c>
      <c r="BE35" s="19">
        <v>1</v>
      </c>
      <c r="BF35" s="19">
        <v>0</v>
      </c>
      <c r="BG35" s="19">
        <v>0</v>
      </c>
      <c r="BH35" s="19"/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9"/>
      <c r="BQ35" s="19"/>
      <c r="BR35" s="19"/>
      <c r="BS35" s="19"/>
      <c r="BT35" s="33"/>
    </row>
    <row r="36" spans="1:72" ht="17.25" customHeight="1" x14ac:dyDescent="0.3">
      <c r="A36" s="80"/>
      <c r="B36" s="43" t="s">
        <v>94</v>
      </c>
      <c r="C36" s="17" t="s">
        <v>90</v>
      </c>
      <c r="D36" s="17">
        <v>226</v>
      </c>
      <c r="E36" s="9">
        <v>1</v>
      </c>
      <c r="F36" s="9">
        <v>1</v>
      </c>
      <c r="G36" s="9">
        <v>1</v>
      </c>
      <c r="H36" s="9">
        <v>1</v>
      </c>
      <c r="I36" s="9">
        <v>1</v>
      </c>
      <c r="J36" s="18" t="s">
        <v>122</v>
      </c>
      <c r="K36" s="18"/>
      <c r="L36" s="18">
        <v>1</v>
      </c>
      <c r="M36" s="18"/>
      <c r="N36" s="18" t="s">
        <v>122</v>
      </c>
      <c r="O36" s="18"/>
      <c r="P36" s="18">
        <v>0</v>
      </c>
      <c r="Q36" s="9">
        <v>1</v>
      </c>
      <c r="R36" s="9" t="s">
        <v>125</v>
      </c>
      <c r="S36" s="18" t="s">
        <v>122</v>
      </c>
      <c r="T36" s="18">
        <v>0</v>
      </c>
      <c r="U36" s="18" t="s">
        <v>122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0</v>
      </c>
      <c r="AE36" s="9">
        <v>0</v>
      </c>
      <c r="AF36" s="9">
        <v>0</v>
      </c>
      <c r="AG36" s="9">
        <v>0</v>
      </c>
      <c r="AH36" s="9">
        <v>0</v>
      </c>
      <c r="AI36" s="18" t="s">
        <v>122</v>
      </c>
      <c r="AJ36" s="18" t="s">
        <v>122</v>
      </c>
      <c r="AK36" s="18" t="s">
        <v>122</v>
      </c>
      <c r="AL36" s="9">
        <v>0</v>
      </c>
      <c r="AM36" s="9">
        <v>0</v>
      </c>
      <c r="AN36" s="32"/>
      <c r="AO36" s="18" t="s">
        <v>122</v>
      </c>
      <c r="AP36" s="18" t="s">
        <v>122</v>
      </c>
      <c r="AQ36" s="18"/>
      <c r="AR36" s="19">
        <v>1</v>
      </c>
      <c r="AS36" s="19">
        <v>1</v>
      </c>
      <c r="AT36" s="19">
        <v>1</v>
      </c>
      <c r="AU36" s="10">
        <v>1</v>
      </c>
      <c r="AV36" s="10">
        <v>1</v>
      </c>
      <c r="AW36" s="19"/>
      <c r="AX36" s="19">
        <v>1</v>
      </c>
      <c r="AY36" s="19">
        <v>1</v>
      </c>
      <c r="AZ36" s="20">
        <v>1</v>
      </c>
      <c r="BA36" s="20">
        <v>1</v>
      </c>
      <c r="BB36" s="19">
        <v>0</v>
      </c>
      <c r="BC36" s="19">
        <v>0</v>
      </c>
      <c r="BD36" s="19">
        <v>1</v>
      </c>
      <c r="BE36" s="19">
        <v>1</v>
      </c>
      <c r="BF36" s="19">
        <v>0</v>
      </c>
      <c r="BG36" s="19">
        <v>0</v>
      </c>
      <c r="BH36" s="19"/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9"/>
      <c r="BQ36" s="19"/>
      <c r="BR36" s="19"/>
      <c r="BS36" s="19"/>
      <c r="BT36" s="33"/>
    </row>
    <row r="37" spans="1:72" ht="17.25" customHeight="1" x14ac:dyDescent="0.3">
      <c r="A37" s="80"/>
      <c r="B37" s="43" t="s">
        <v>94</v>
      </c>
      <c r="C37" s="17" t="s">
        <v>91</v>
      </c>
      <c r="D37" s="17">
        <v>227</v>
      </c>
      <c r="E37" s="9">
        <v>1</v>
      </c>
      <c r="F37" s="9">
        <v>1</v>
      </c>
      <c r="G37" s="9">
        <v>1</v>
      </c>
      <c r="H37" s="9">
        <v>1</v>
      </c>
      <c r="I37" s="9">
        <v>1</v>
      </c>
      <c r="J37" s="18" t="s">
        <v>122</v>
      </c>
      <c r="K37" s="18"/>
      <c r="L37" s="18">
        <v>1</v>
      </c>
      <c r="M37" s="18">
        <v>1</v>
      </c>
      <c r="N37" s="18" t="s">
        <v>122</v>
      </c>
      <c r="O37" s="18">
        <v>1</v>
      </c>
      <c r="P37" s="18">
        <v>1</v>
      </c>
      <c r="Q37" s="9">
        <v>1</v>
      </c>
      <c r="R37" s="9" t="s">
        <v>125</v>
      </c>
      <c r="S37" s="18" t="s">
        <v>122</v>
      </c>
      <c r="T37" s="18">
        <v>1</v>
      </c>
      <c r="U37" s="18" t="s">
        <v>122</v>
      </c>
      <c r="V37" s="9">
        <v>1</v>
      </c>
      <c r="W37" s="9">
        <v>1</v>
      </c>
      <c r="X37" s="9">
        <v>1</v>
      </c>
      <c r="Y37" s="9">
        <v>1</v>
      </c>
      <c r="Z37" s="9">
        <v>1</v>
      </c>
      <c r="AA37" s="18">
        <v>1</v>
      </c>
      <c r="AB37" s="9">
        <v>0</v>
      </c>
      <c r="AC37" s="9">
        <v>0</v>
      </c>
      <c r="AD37" s="9">
        <v>1</v>
      </c>
      <c r="AE37" s="9">
        <v>1</v>
      </c>
      <c r="AF37" s="18">
        <v>1</v>
      </c>
      <c r="AG37" s="18">
        <v>1</v>
      </c>
      <c r="AH37" s="18">
        <v>1</v>
      </c>
      <c r="AI37" s="18" t="s">
        <v>122</v>
      </c>
      <c r="AJ37" s="18" t="s">
        <v>122</v>
      </c>
      <c r="AK37" s="18" t="s">
        <v>122</v>
      </c>
      <c r="AL37" s="18"/>
      <c r="AM37" s="18"/>
      <c r="AN37" s="32">
        <v>1</v>
      </c>
      <c r="AO37" s="18">
        <v>1</v>
      </c>
      <c r="AP37" s="18">
        <v>1</v>
      </c>
      <c r="AQ37" s="18">
        <v>1</v>
      </c>
      <c r="AR37" s="19">
        <v>1</v>
      </c>
      <c r="AS37" s="19"/>
      <c r="AT37" s="19"/>
      <c r="AU37" s="10">
        <v>1</v>
      </c>
      <c r="AV37" s="10">
        <v>1</v>
      </c>
      <c r="AW37" s="19"/>
      <c r="AX37" s="19">
        <v>1</v>
      </c>
      <c r="AY37" s="19">
        <v>1</v>
      </c>
      <c r="AZ37" s="20">
        <v>1</v>
      </c>
      <c r="BA37" s="20">
        <v>1</v>
      </c>
      <c r="BB37" s="19">
        <v>0</v>
      </c>
      <c r="BC37" s="19">
        <v>0</v>
      </c>
      <c r="BD37" s="19">
        <v>0.5</v>
      </c>
      <c r="BE37" s="19">
        <v>0</v>
      </c>
      <c r="BF37" s="19">
        <v>0</v>
      </c>
      <c r="BG37" s="19">
        <v>0</v>
      </c>
      <c r="BH37" s="19"/>
      <c r="BI37" s="10">
        <v>1</v>
      </c>
      <c r="BJ37" s="10">
        <v>1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9"/>
      <c r="BQ37" s="19"/>
      <c r="BR37" s="19"/>
      <c r="BS37" s="19"/>
      <c r="BT37" s="33"/>
    </row>
    <row r="38" spans="1:72" ht="17.25" customHeight="1" x14ac:dyDescent="0.3">
      <c r="A38" s="80"/>
      <c r="B38" s="43" t="s">
        <v>94</v>
      </c>
      <c r="C38" s="17" t="s">
        <v>90</v>
      </c>
      <c r="D38" s="17">
        <v>228</v>
      </c>
      <c r="E38" s="9">
        <v>1</v>
      </c>
      <c r="F38" s="9">
        <v>1</v>
      </c>
      <c r="G38" s="9">
        <v>1</v>
      </c>
      <c r="H38" s="9">
        <v>1</v>
      </c>
      <c r="I38" s="9">
        <v>1</v>
      </c>
      <c r="J38" s="18" t="s">
        <v>122</v>
      </c>
      <c r="K38" s="18"/>
      <c r="L38" s="18">
        <v>1</v>
      </c>
      <c r="M38" s="18">
        <v>1</v>
      </c>
      <c r="N38" s="18" t="s">
        <v>122</v>
      </c>
      <c r="O38" s="18">
        <v>1</v>
      </c>
      <c r="P38" s="18">
        <v>1</v>
      </c>
      <c r="Q38" s="9">
        <v>1</v>
      </c>
      <c r="R38" s="9" t="s">
        <v>125</v>
      </c>
      <c r="S38" s="18" t="s">
        <v>122</v>
      </c>
      <c r="T38" s="18">
        <v>1</v>
      </c>
      <c r="U38" s="18" t="s">
        <v>122</v>
      </c>
      <c r="V38" s="9">
        <v>1</v>
      </c>
      <c r="W38" s="9">
        <v>1</v>
      </c>
      <c r="X38" s="9">
        <v>1</v>
      </c>
      <c r="Y38" s="9">
        <v>1</v>
      </c>
      <c r="Z38" s="9">
        <v>1</v>
      </c>
      <c r="AA38" s="18">
        <v>1</v>
      </c>
      <c r="AB38" s="9">
        <v>0</v>
      </c>
      <c r="AC38" s="9">
        <v>0</v>
      </c>
      <c r="AD38" s="9">
        <v>1</v>
      </c>
      <c r="AE38" s="9">
        <v>1</v>
      </c>
      <c r="AF38" s="18">
        <v>1</v>
      </c>
      <c r="AG38" s="18">
        <v>1</v>
      </c>
      <c r="AH38" s="18">
        <v>1</v>
      </c>
      <c r="AI38" s="18" t="s">
        <v>122</v>
      </c>
      <c r="AJ38" s="18" t="s">
        <v>122</v>
      </c>
      <c r="AK38" s="18" t="s">
        <v>122</v>
      </c>
      <c r="AL38" s="18"/>
      <c r="AM38" s="18"/>
      <c r="AN38" s="32">
        <v>1</v>
      </c>
      <c r="AO38" s="18">
        <v>1</v>
      </c>
      <c r="AP38" s="18">
        <v>1</v>
      </c>
      <c r="AQ38" s="18">
        <v>1</v>
      </c>
      <c r="AR38" s="19">
        <v>1</v>
      </c>
      <c r="AS38" s="19"/>
      <c r="AT38" s="19"/>
      <c r="AU38" s="10">
        <v>1</v>
      </c>
      <c r="AV38" s="10">
        <v>1</v>
      </c>
      <c r="AW38" s="19"/>
      <c r="AX38" s="19"/>
      <c r="AY38" s="19"/>
      <c r="AZ38" s="20"/>
      <c r="BA38" s="20"/>
      <c r="BB38" s="19"/>
      <c r="BC38" s="19"/>
      <c r="BD38" s="19"/>
      <c r="BE38" s="19"/>
      <c r="BF38" s="19"/>
      <c r="BG38" s="19"/>
      <c r="BH38" s="19"/>
      <c r="BI38" s="10">
        <v>1</v>
      </c>
      <c r="BJ38" s="10">
        <v>1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9"/>
      <c r="BQ38" s="19"/>
      <c r="BR38" s="19"/>
      <c r="BS38" s="19"/>
      <c r="BT38" s="33"/>
    </row>
    <row r="39" spans="1:72" ht="17.25" customHeight="1" x14ac:dyDescent="0.3">
      <c r="A39" s="80"/>
      <c r="B39" s="43" t="s">
        <v>94</v>
      </c>
      <c r="C39" s="17" t="s">
        <v>90</v>
      </c>
      <c r="D39" s="17">
        <v>229</v>
      </c>
      <c r="E39" s="9">
        <v>1</v>
      </c>
      <c r="F39" s="9">
        <v>1</v>
      </c>
      <c r="G39" s="9">
        <v>1</v>
      </c>
      <c r="H39" s="9">
        <v>1</v>
      </c>
      <c r="I39" s="9">
        <v>1</v>
      </c>
      <c r="J39" s="18" t="s">
        <v>122</v>
      </c>
      <c r="K39" s="18"/>
      <c r="L39" s="18">
        <v>1</v>
      </c>
      <c r="M39" s="18"/>
      <c r="N39" s="18" t="s">
        <v>122</v>
      </c>
      <c r="O39" s="18"/>
      <c r="P39" s="18">
        <v>0</v>
      </c>
      <c r="Q39" s="9">
        <v>1</v>
      </c>
      <c r="R39" s="9" t="s">
        <v>125</v>
      </c>
      <c r="S39" s="18" t="s">
        <v>122</v>
      </c>
      <c r="T39" s="18">
        <v>0</v>
      </c>
      <c r="U39" s="18" t="s">
        <v>122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18">
        <v>0</v>
      </c>
      <c r="AG39" s="18">
        <v>0</v>
      </c>
      <c r="AH39" s="18">
        <v>0</v>
      </c>
      <c r="AI39" s="18" t="s">
        <v>122</v>
      </c>
      <c r="AJ39" s="18" t="s">
        <v>122</v>
      </c>
      <c r="AK39" s="18" t="s">
        <v>122</v>
      </c>
      <c r="AL39" s="9">
        <v>0</v>
      </c>
      <c r="AM39" s="9">
        <v>0</v>
      </c>
      <c r="AN39" s="32"/>
      <c r="AO39" s="18" t="s">
        <v>122</v>
      </c>
      <c r="AP39" s="18" t="s">
        <v>122</v>
      </c>
      <c r="AQ39" s="18"/>
      <c r="AR39" s="19">
        <v>1</v>
      </c>
      <c r="AS39" s="19"/>
      <c r="AT39" s="19"/>
      <c r="AU39" s="10">
        <v>1</v>
      </c>
      <c r="AV39" s="10">
        <v>1</v>
      </c>
      <c r="AW39" s="19"/>
      <c r="AX39" s="19"/>
      <c r="AY39" s="19"/>
      <c r="AZ39" s="20"/>
      <c r="BA39" s="20"/>
      <c r="BB39" s="19"/>
      <c r="BC39" s="19"/>
      <c r="BD39" s="19"/>
      <c r="BE39" s="19"/>
      <c r="BF39" s="19"/>
      <c r="BG39" s="19"/>
      <c r="BH39" s="19"/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9"/>
      <c r="BQ39" s="19"/>
      <c r="BR39" s="19"/>
      <c r="BS39" s="19"/>
      <c r="BT39" s="33"/>
    </row>
    <row r="40" spans="1:72" ht="17.25" customHeight="1" x14ac:dyDescent="0.3">
      <c r="A40" s="80"/>
      <c r="B40" s="43" t="s">
        <v>94</v>
      </c>
      <c r="C40" s="17" t="s">
        <v>90</v>
      </c>
      <c r="D40" s="17">
        <v>230</v>
      </c>
      <c r="E40" s="9">
        <v>1</v>
      </c>
      <c r="F40" s="9">
        <v>1</v>
      </c>
      <c r="G40" s="9">
        <v>1</v>
      </c>
      <c r="H40" s="9">
        <v>1</v>
      </c>
      <c r="I40" s="9">
        <v>1</v>
      </c>
      <c r="J40" s="18" t="s">
        <v>122</v>
      </c>
      <c r="K40" s="18"/>
      <c r="L40" s="18">
        <v>1</v>
      </c>
      <c r="M40" s="18">
        <v>1</v>
      </c>
      <c r="N40" s="18" t="s">
        <v>122</v>
      </c>
      <c r="O40" s="18">
        <v>1</v>
      </c>
      <c r="P40" s="18">
        <v>1</v>
      </c>
      <c r="Q40" s="9">
        <v>1</v>
      </c>
      <c r="R40" s="9" t="s">
        <v>125</v>
      </c>
      <c r="S40" s="18" t="s">
        <v>122</v>
      </c>
      <c r="T40" s="18">
        <v>0</v>
      </c>
      <c r="U40" s="18" t="s">
        <v>122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  <c r="AF40" s="18">
        <v>0</v>
      </c>
      <c r="AG40" s="18">
        <v>0</v>
      </c>
      <c r="AH40" s="18">
        <v>0</v>
      </c>
      <c r="AI40" s="18" t="s">
        <v>122</v>
      </c>
      <c r="AJ40" s="18" t="s">
        <v>122</v>
      </c>
      <c r="AK40" s="18" t="s">
        <v>122</v>
      </c>
      <c r="AL40" s="9">
        <v>0</v>
      </c>
      <c r="AM40" s="9">
        <v>0</v>
      </c>
      <c r="AN40" s="32"/>
      <c r="AO40" s="18" t="s">
        <v>122</v>
      </c>
      <c r="AP40" s="18" t="s">
        <v>122</v>
      </c>
      <c r="AQ40" s="18"/>
      <c r="AR40" s="19">
        <v>1</v>
      </c>
      <c r="AS40" s="19"/>
      <c r="AT40" s="19"/>
      <c r="AU40" s="10">
        <v>1</v>
      </c>
      <c r="AV40" s="10">
        <v>1</v>
      </c>
      <c r="AW40" s="19"/>
      <c r="AX40" s="19"/>
      <c r="AY40" s="19"/>
      <c r="AZ40" s="20"/>
      <c r="BA40" s="20"/>
      <c r="BB40" s="19"/>
      <c r="BC40" s="19"/>
      <c r="BD40" s="19"/>
      <c r="BE40" s="19"/>
      <c r="BF40" s="19"/>
      <c r="BG40" s="19"/>
      <c r="BH40" s="19"/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9"/>
      <c r="BQ40" s="19"/>
      <c r="BR40" s="19"/>
      <c r="BS40" s="19"/>
      <c r="BT40" s="33"/>
    </row>
    <row r="41" spans="1:72" ht="17.25" customHeight="1" x14ac:dyDescent="0.3">
      <c r="A41" s="80"/>
      <c r="B41" s="43" t="s">
        <v>94</v>
      </c>
      <c r="C41" s="17" t="s">
        <v>90</v>
      </c>
      <c r="D41" s="17">
        <v>231</v>
      </c>
      <c r="E41" s="9">
        <v>1</v>
      </c>
      <c r="F41" s="9">
        <v>1</v>
      </c>
      <c r="G41" s="9">
        <v>1</v>
      </c>
      <c r="H41" s="9">
        <v>1</v>
      </c>
      <c r="I41" s="9">
        <v>1</v>
      </c>
      <c r="J41" s="18" t="s">
        <v>122</v>
      </c>
      <c r="K41" s="18"/>
      <c r="L41" s="18">
        <v>1</v>
      </c>
      <c r="M41" s="18">
        <v>1</v>
      </c>
      <c r="N41" s="18" t="s">
        <v>122</v>
      </c>
      <c r="O41" s="18">
        <v>1</v>
      </c>
      <c r="P41" s="18">
        <v>1</v>
      </c>
      <c r="Q41" s="9">
        <v>1</v>
      </c>
      <c r="R41" s="9" t="s">
        <v>125</v>
      </c>
      <c r="S41" s="18" t="s">
        <v>122</v>
      </c>
      <c r="T41" s="18">
        <v>0</v>
      </c>
      <c r="U41" s="18" t="s">
        <v>122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18">
        <v>0</v>
      </c>
      <c r="AG41" s="18">
        <v>0</v>
      </c>
      <c r="AH41" s="18">
        <v>0</v>
      </c>
      <c r="AI41" s="18" t="s">
        <v>122</v>
      </c>
      <c r="AJ41" s="18" t="s">
        <v>122</v>
      </c>
      <c r="AK41" s="18" t="s">
        <v>122</v>
      </c>
      <c r="AL41" s="9">
        <v>0</v>
      </c>
      <c r="AM41" s="9">
        <v>0</v>
      </c>
      <c r="AN41" s="32"/>
      <c r="AO41" s="18" t="s">
        <v>122</v>
      </c>
      <c r="AP41" s="18" t="s">
        <v>122</v>
      </c>
      <c r="AQ41" s="18"/>
      <c r="AR41" s="19">
        <v>1</v>
      </c>
      <c r="AS41" s="19"/>
      <c r="AT41" s="19"/>
      <c r="AU41" s="10">
        <v>1</v>
      </c>
      <c r="AV41" s="10">
        <v>1</v>
      </c>
      <c r="AW41" s="19"/>
      <c r="AX41" s="19"/>
      <c r="AY41" s="19"/>
      <c r="AZ41" s="20"/>
      <c r="BA41" s="20"/>
      <c r="BB41" s="19"/>
      <c r="BC41" s="19"/>
      <c r="BD41" s="19"/>
      <c r="BE41" s="19"/>
      <c r="BF41" s="19"/>
      <c r="BG41" s="19"/>
      <c r="BH41" s="19"/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9"/>
      <c r="BQ41" s="19"/>
      <c r="BR41" s="19"/>
      <c r="BS41" s="19"/>
      <c r="BT41" s="33"/>
    </row>
    <row r="42" spans="1:72" ht="17.25" customHeight="1" x14ac:dyDescent="0.3">
      <c r="A42" s="80"/>
      <c r="B42" s="43" t="s">
        <v>94</v>
      </c>
      <c r="C42" s="17" t="s">
        <v>90</v>
      </c>
      <c r="D42" s="17">
        <v>232</v>
      </c>
      <c r="E42" s="9">
        <v>1</v>
      </c>
      <c r="F42" s="9">
        <v>1</v>
      </c>
      <c r="G42" s="9">
        <v>1</v>
      </c>
      <c r="H42" s="9">
        <v>1</v>
      </c>
      <c r="I42" s="9">
        <v>1</v>
      </c>
      <c r="J42" s="18" t="s">
        <v>122</v>
      </c>
      <c r="K42" s="18"/>
      <c r="L42" s="18">
        <v>1</v>
      </c>
      <c r="M42" s="18">
        <v>1</v>
      </c>
      <c r="N42" s="18" t="s">
        <v>122</v>
      </c>
      <c r="O42" s="18">
        <v>1</v>
      </c>
      <c r="P42" s="18">
        <v>1</v>
      </c>
      <c r="Q42" s="9">
        <v>1</v>
      </c>
      <c r="R42" s="9" t="s">
        <v>125</v>
      </c>
      <c r="S42" s="18" t="s">
        <v>122</v>
      </c>
      <c r="T42" s="18">
        <v>0</v>
      </c>
      <c r="U42" s="18" t="s">
        <v>122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 s="9">
        <v>0</v>
      </c>
      <c r="AF42" s="18">
        <v>0</v>
      </c>
      <c r="AG42" s="18">
        <v>0</v>
      </c>
      <c r="AH42" s="18">
        <v>0</v>
      </c>
      <c r="AI42" s="18" t="s">
        <v>122</v>
      </c>
      <c r="AJ42" s="18" t="s">
        <v>122</v>
      </c>
      <c r="AK42" s="18" t="s">
        <v>122</v>
      </c>
      <c r="AL42" s="9">
        <v>0</v>
      </c>
      <c r="AM42" s="9">
        <v>0</v>
      </c>
      <c r="AN42" s="32"/>
      <c r="AO42" s="18" t="s">
        <v>122</v>
      </c>
      <c r="AP42" s="18" t="s">
        <v>122</v>
      </c>
      <c r="AQ42" s="18"/>
      <c r="AR42" s="19">
        <v>1</v>
      </c>
      <c r="AS42" s="19"/>
      <c r="AT42" s="19"/>
      <c r="AU42" s="10">
        <v>1</v>
      </c>
      <c r="AV42" s="10">
        <v>1</v>
      </c>
      <c r="AW42" s="19"/>
      <c r="AX42" s="19"/>
      <c r="AY42" s="19"/>
      <c r="AZ42" s="20"/>
      <c r="BA42" s="20"/>
      <c r="BB42" s="19"/>
      <c r="BC42" s="19"/>
      <c r="BD42" s="19"/>
      <c r="BE42" s="19"/>
      <c r="BF42" s="19"/>
      <c r="BG42" s="19"/>
      <c r="BH42" s="19"/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9"/>
      <c r="BQ42" s="19"/>
      <c r="BR42" s="19"/>
      <c r="BS42" s="19"/>
      <c r="BT42" s="33"/>
    </row>
    <row r="43" spans="1:72" ht="17.25" customHeight="1" x14ac:dyDescent="0.3">
      <c r="A43" s="80"/>
      <c r="B43" s="43" t="s">
        <v>94</v>
      </c>
      <c r="C43" s="17" t="s">
        <v>90</v>
      </c>
      <c r="D43" s="17">
        <v>233</v>
      </c>
      <c r="E43" s="9">
        <v>1</v>
      </c>
      <c r="F43" s="9">
        <v>1</v>
      </c>
      <c r="G43" s="9">
        <v>1</v>
      </c>
      <c r="H43" s="9">
        <v>1</v>
      </c>
      <c r="I43" s="9">
        <v>1</v>
      </c>
      <c r="J43" s="18" t="s">
        <v>122</v>
      </c>
      <c r="K43" s="18"/>
      <c r="L43" s="18">
        <v>1</v>
      </c>
      <c r="M43" s="18">
        <v>1</v>
      </c>
      <c r="N43" s="18" t="s">
        <v>122</v>
      </c>
      <c r="O43" s="18">
        <v>1</v>
      </c>
      <c r="P43" s="18">
        <v>1</v>
      </c>
      <c r="Q43" s="9">
        <v>1</v>
      </c>
      <c r="R43" s="9" t="s">
        <v>125</v>
      </c>
      <c r="S43" s="18" t="s">
        <v>122</v>
      </c>
      <c r="T43" s="18">
        <v>0</v>
      </c>
      <c r="U43" s="18" t="s">
        <v>122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18">
        <v>0</v>
      </c>
      <c r="AG43" s="18">
        <v>0</v>
      </c>
      <c r="AH43" s="18">
        <v>0</v>
      </c>
      <c r="AI43" s="18" t="s">
        <v>122</v>
      </c>
      <c r="AJ43" s="18" t="s">
        <v>122</v>
      </c>
      <c r="AK43" s="18" t="s">
        <v>122</v>
      </c>
      <c r="AL43" s="9">
        <v>0</v>
      </c>
      <c r="AM43" s="9">
        <v>0</v>
      </c>
      <c r="AN43" s="32"/>
      <c r="AO43" s="18" t="s">
        <v>122</v>
      </c>
      <c r="AP43" s="18" t="s">
        <v>122</v>
      </c>
      <c r="AQ43" s="18"/>
      <c r="AR43" s="19">
        <v>1</v>
      </c>
      <c r="AS43" s="19"/>
      <c r="AT43" s="19"/>
      <c r="AU43" s="10">
        <v>1</v>
      </c>
      <c r="AV43" s="10">
        <v>1</v>
      </c>
      <c r="AW43" s="19"/>
      <c r="AX43" s="19"/>
      <c r="AY43" s="19"/>
      <c r="AZ43" s="20"/>
      <c r="BA43" s="20"/>
      <c r="BB43" s="19"/>
      <c r="BC43" s="19"/>
      <c r="BD43" s="19"/>
      <c r="BE43" s="19"/>
      <c r="BF43" s="19"/>
      <c r="BG43" s="19"/>
      <c r="BH43" s="19"/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9"/>
      <c r="BQ43" s="19"/>
      <c r="BR43" s="19"/>
      <c r="BS43" s="19"/>
      <c r="BT43" s="33"/>
    </row>
    <row r="44" spans="1:72" ht="17.25" customHeight="1" thickBot="1" x14ac:dyDescent="0.35">
      <c r="A44" s="81"/>
      <c r="B44" s="43" t="s">
        <v>94</v>
      </c>
      <c r="C44" s="17" t="s">
        <v>90</v>
      </c>
      <c r="D44" s="17">
        <v>234</v>
      </c>
      <c r="E44" s="9">
        <v>1</v>
      </c>
      <c r="F44" s="9">
        <v>1</v>
      </c>
      <c r="G44" s="9">
        <v>1</v>
      </c>
      <c r="H44" s="9">
        <v>1</v>
      </c>
      <c r="I44" s="9">
        <v>1</v>
      </c>
      <c r="J44" s="18" t="s">
        <v>122</v>
      </c>
      <c r="K44" s="18"/>
      <c r="L44" s="18">
        <v>1</v>
      </c>
      <c r="M44" s="18">
        <v>1</v>
      </c>
      <c r="N44" s="18" t="s">
        <v>122</v>
      </c>
      <c r="O44" s="18">
        <v>1</v>
      </c>
      <c r="P44" s="18">
        <v>1</v>
      </c>
      <c r="Q44" s="9">
        <v>1</v>
      </c>
      <c r="R44" s="9" t="s">
        <v>125</v>
      </c>
      <c r="S44" s="18" t="s">
        <v>122</v>
      </c>
      <c r="T44" s="18">
        <v>0</v>
      </c>
      <c r="U44" s="18" t="s">
        <v>122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18">
        <v>0</v>
      </c>
      <c r="AG44" s="18">
        <v>0</v>
      </c>
      <c r="AH44" s="18">
        <v>0</v>
      </c>
      <c r="AI44" s="18" t="s">
        <v>122</v>
      </c>
      <c r="AJ44" s="18" t="s">
        <v>122</v>
      </c>
      <c r="AK44" s="18" t="s">
        <v>122</v>
      </c>
      <c r="AL44" s="9">
        <v>0</v>
      </c>
      <c r="AM44" s="9">
        <v>0</v>
      </c>
      <c r="AN44" s="32"/>
      <c r="AO44" s="18" t="s">
        <v>122</v>
      </c>
      <c r="AP44" s="18" t="s">
        <v>122</v>
      </c>
      <c r="AQ44" s="18"/>
      <c r="AR44" s="19">
        <v>1</v>
      </c>
      <c r="AS44" s="19"/>
      <c r="AT44" s="19"/>
      <c r="AU44" s="10">
        <v>1</v>
      </c>
      <c r="AV44" s="10">
        <v>1</v>
      </c>
      <c r="AW44" s="19"/>
      <c r="AX44" s="19"/>
      <c r="AY44" s="19"/>
      <c r="AZ44" s="20"/>
      <c r="BA44" s="20"/>
      <c r="BB44" s="19"/>
      <c r="BC44" s="19"/>
      <c r="BD44" s="19"/>
      <c r="BE44" s="19"/>
      <c r="BF44" s="19"/>
      <c r="BG44" s="19"/>
      <c r="BH44" s="19"/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9"/>
      <c r="BQ44" s="19"/>
      <c r="BR44" s="19"/>
      <c r="BS44" s="19"/>
      <c r="BT44" s="33"/>
    </row>
    <row r="45" spans="1:72" ht="17.25" customHeight="1" x14ac:dyDescent="0.3">
      <c r="A45" s="79" t="s">
        <v>95</v>
      </c>
      <c r="B45" s="41" t="s">
        <v>89</v>
      </c>
      <c r="C45" s="8" t="s">
        <v>90</v>
      </c>
      <c r="D45" s="8">
        <v>301</v>
      </c>
      <c r="E45" s="9">
        <v>1</v>
      </c>
      <c r="F45" s="9">
        <v>1</v>
      </c>
      <c r="G45" s="9">
        <v>1</v>
      </c>
      <c r="H45" s="9">
        <v>1</v>
      </c>
      <c r="I45" s="9">
        <v>1</v>
      </c>
      <c r="J45" s="12" t="s">
        <v>122</v>
      </c>
      <c r="K45" s="12"/>
      <c r="L45" s="12">
        <v>1</v>
      </c>
      <c r="M45" s="12"/>
      <c r="N45" s="12" t="s">
        <v>122</v>
      </c>
      <c r="O45" s="12">
        <v>1</v>
      </c>
      <c r="P45" s="12">
        <v>0</v>
      </c>
      <c r="Q45" s="9">
        <v>1</v>
      </c>
      <c r="R45" s="9" t="s">
        <v>125</v>
      </c>
      <c r="S45" s="12" t="s">
        <v>122</v>
      </c>
      <c r="T45" s="12">
        <v>0</v>
      </c>
      <c r="U45" s="12" t="s">
        <v>122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18">
        <v>0</v>
      </c>
      <c r="AG45" s="18">
        <v>0</v>
      </c>
      <c r="AH45" s="18">
        <v>0</v>
      </c>
      <c r="AI45" s="12" t="s">
        <v>122</v>
      </c>
      <c r="AJ45" s="12" t="s">
        <v>122</v>
      </c>
      <c r="AK45" s="12" t="s">
        <v>122</v>
      </c>
      <c r="AL45" s="9">
        <v>0</v>
      </c>
      <c r="AM45" s="9">
        <v>0</v>
      </c>
      <c r="AN45" s="29"/>
      <c r="AO45" s="12" t="s">
        <v>122</v>
      </c>
      <c r="AP45" s="12" t="s">
        <v>122</v>
      </c>
      <c r="AQ45" s="12"/>
      <c r="AR45" s="10">
        <v>1</v>
      </c>
      <c r="AS45" s="10"/>
      <c r="AT45" s="10"/>
      <c r="AU45" s="10">
        <v>1</v>
      </c>
      <c r="AV45" s="10">
        <v>1</v>
      </c>
      <c r="AW45" s="10"/>
      <c r="AX45" s="10"/>
      <c r="AY45" s="10"/>
      <c r="AZ45" s="11"/>
      <c r="BA45" s="11"/>
      <c r="BB45" s="10"/>
      <c r="BC45" s="10"/>
      <c r="BD45" s="10"/>
      <c r="BE45" s="10"/>
      <c r="BF45" s="10"/>
      <c r="BG45" s="10"/>
      <c r="BH45" s="10"/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/>
      <c r="BQ45" s="10"/>
      <c r="BR45" s="10"/>
      <c r="BS45" s="10"/>
      <c r="BT45" s="28"/>
    </row>
    <row r="46" spans="1:72" ht="17.25" customHeight="1" x14ac:dyDescent="0.3">
      <c r="A46" s="80"/>
      <c r="B46" s="41" t="s">
        <v>89</v>
      </c>
      <c r="C46" s="8" t="s">
        <v>90</v>
      </c>
      <c r="D46" s="8">
        <v>302</v>
      </c>
      <c r="E46" s="9">
        <v>1</v>
      </c>
      <c r="F46" s="9">
        <v>1</v>
      </c>
      <c r="G46" s="9">
        <v>1</v>
      </c>
      <c r="H46" s="9">
        <v>1</v>
      </c>
      <c r="I46" s="9">
        <v>1</v>
      </c>
      <c r="J46" s="12" t="s">
        <v>122</v>
      </c>
      <c r="K46" s="12"/>
      <c r="L46" s="12">
        <v>1</v>
      </c>
      <c r="M46" s="12"/>
      <c r="N46" s="12" t="s">
        <v>122</v>
      </c>
      <c r="O46" s="12">
        <v>1</v>
      </c>
      <c r="P46" s="12">
        <v>0</v>
      </c>
      <c r="Q46" s="9">
        <v>1</v>
      </c>
      <c r="R46" s="9" t="s">
        <v>125</v>
      </c>
      <c r="S46" s="12" t="s">
        <v>122</v>
      </c>
      <c r="T46" s="12">
        <v>0</v>
      </c>
      <c r="U46" s="12" t="s">
        <v>122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9">
        <v>0</v>
      </c>
      <c r="AE46" s="9">
        <v>0</v>
      </c>
      <c r="AF46" s="18">
        <v>0</v>
      </c>
      <c r="AG46" s="18">
        <v>0</v>
      </c>
      <c r="AH46" s="18">
        <v>0</v>
      </c>
      <c r="AI46" s="12" t="s">
        <v>122</v>
      </c>
      <c r="AJ46" s="12" t="s">
        <v>122</v>
      </c>
      <c r="AK46" s="12" t="s">
        <v>122</v>
      </c>
      <c r="AL46" s="9">
        <v>0</v>
      </c>
      <c r="AM46" s="9">
        <v>0</v>
      </c>
      <c r="AN46" s="29"/>
      <c r="AO46" s="12" t="s">
        <v>122</v>
      </c>
      <c r="AP46" s="12" t="s">
        <v>122</v>
      </c>
      <c r="AQ46" s="12"/>
      <c r="AR46" s="10">
        <v>1</v>
      </c>
      <c r="AS46" s="10"/>
      <c r="AT46" s="10"/>
      <c r="AU46" s="10">
        <v>1</v>
      </c>
      <c r="AV46" s="10">
        <v>1</v>
      </c>
      <c r="AW46" s="10"/>
      <c r="AX46" s="10"/>
      <c r="AY46" s="10"/>
      <c r="AZ46" s="11"/>
      <c r="BA46" s="11"/>
      <c r="BB46" s="10"/>
      <c r="BC46" s="10"/>
      <c r="BD46" s="10"/>
      <c r="BE46" s="10"/>
      <c r="BF46" s="10"/>
      <c r="BG46" s="10"/>
      <c r="BH46" s="10"/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/>
      <c r="BQ46" s="10"/>
      <c r="BR46" s="10"/>
      <c r="BS46" s="10"/>
      <c r="BT46" s="28"/>
    </row>
    <row r="47" spans="1:72" ht="17.25" customHeight="1" x14ac:dyDescent="0.3">
      <c r="A47" s="80"/>
      <c r="B47" s="41" t="s">
        <v>89</v>
      </c>
      <c r="C47" s="8" t="s">
        <v>91</v>
      </c>
      <c r="D47" s="8">
        <v>303</v>
      </c>
      <c r="E47" s="9">
        <v>1</v>
      </c>
      <c r="F47" s="9">
        <v>1</v>
      </c>
      <c r="G47" s="9">
        <v>1</v>
      </c>
      <c r="H47" s="9">
        <v>1</v>
      </c>
      <c r="I47" s="9">
        <v>1</v>
      </c>
      <c r="J47" s="12" t="s">
        <v>122</v>
      </c>
      <c r="K47" s="12"/>
      <c r="L47" s="12">
        <v>0.4</v>
      </c>
      <c r="M47" s="12"/>
      <c r="N47" s="12" t="s">
        <v>122</v>
      </c>
      <c r="O47" s="12">
        <v>0</v>
      </c>
      <c r="P47" s="12">
        <v>0</v>
      </c>
      <c r="Q47" s="9">
        <v>1</v>
      </c>
      <c r="R47" s="9" t="s">
        <v>125</v>
      </c>
      <c r="S47" s="12" t="s">
        <v>122</v>
      </c>
      <c r="T47" s="12">
        <v>0</v>
      </c>
      <c r="U47" s="12" t="s">
        <v>122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18">
        <v>0</v>
      </c>
      <c r="AG47" s="18">
        <v>0</v>
      </c>
      <c r="AH47" s="18">
        <v>0</v>
      </c>
      <c r="AI47" s="12" t="s">
        <v>122</v>
      </c>
      <c r="AJ47" s="12" t="s">
        <v>122</v>
      </c>
      <c r="AK47" s="12" t="s">
        <v>122</v>
      </c>
      <c r="AL47" s="9">
        <v>0</v>
      </c>
      <c r="AM47" s="9">
        <v>0</v>
      </c>
      <c r="AN47" s="29"/>
      <c r="AO47" s="12" t="s">
        <v>122</v>
      </c>
      <c r="AP47" s="12" t="s">
        <v>122</v>
      </c>
      <c r="AQ47" s="12"/>
      <c r="AR47" s="10">
        <v>1</v>
      </c>
      <c r="AS47" s="10"/>
      <c r="AT47" s="10"/>
      <c r="AU47" s="10">
        <v>1</v>
      </c>
      <c r="AV47" s="10">
        <v>1</v>
      </c>
      <c r="AW47" s="10"/>
      <c r="AX47" s="10"/>
      <c r="AY47" s="10"/>
      <c r="AZ47" s="11"/>
      <c r="BA47" s="11"/>
      <c r="BB47" s="10"/>
      <c r="BC47" s="10"/>
      <c r="BD47" s="10"/>
      <c r="BE47" s="10"/>
      <c r="BF47" s="10"/>
      <c r="BG47" s="10"/>
      <c r="BH47" s="10"/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/>
      <c r="BQ47" s="10"/>
      <c r="BR47" s="10"/>
      <c r="BS47" s="10"/>
      <c r="BT47" s="28"/>
    </row>
    <row r="48" spans="1:72" ht="17.25" customHeight="1" x14ac:dyDescent="0.3">
      <c r="A48" s="80"/>
      <c r="B48" s="41" t="s">
        <v>89</v>
      </c>
      <c r="C48" s="8" t="s">
        <v>90</v>
      </c>
      <c r="D48" s="8">
        <v>304</v>
      </c>
      <c r="E48" s="9">
        <v>1</v>
      </c>
      <c r="F48" s="9">
        <v>1</v>
      </c>
      <c r="G48" s="9">
        <v>1</v>
      </c>
      <c r="H48" s="9">
        <v>1</v>
      </c>
      <c r="I48" s="9">
        <v>1</v>
      </c>
      <c r="J48" s="12" t="s">
        <v>122</v>
      </c>
      <c r="K48" s="12"/>
      <c r="L48" s="12">
        <v>1</v>
      </c>
      <c r="M48" s="12">
        <v>1</v>
      </c>
      <c r="N48" s="12" t="s">
        <v>122</v>
      </c>
      <c r="O48" s="12">
        <v>1</v>
      </c>
      <c r="P48" s="12">
        <v>1</v>
      </c>
      <c r="Q48" s="9">
        <v>1</v>
      </c>
      <c r="R48" s="9" t="s">
        <v>125</v>
      </c>
      <c r="S48" s="12" t="s">
        <v>122</v>
      </c>
      <c r="T48" s="12">
        <v>0</v>
      </c>
      <c r="U48" s="12" t="s">
        <v>122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">
        <v>0</v>
      </c>
      <c r="AE48" s="9">
        <v>0</v>
      </c>
      <c r="AF48" s="18">
        <v>0</v>
      </c>
      <c r="AG48" s="18">
        <v>0</v>
      </c>
      <c r="AH48" s="18">
        <v>0</v>
      </c>
      <c r="AI48" s="12" t="s">
        <v>122</v>
      </c>
      <c r="AJ48" s="12" t="s">
        <v>122</v>
      </c>
      <c r="AK48" s="12" t="s">
        <v>122</v>
      </c>
      <c r="AL48" s="9">
        <v>0</v>
      </c>
      <c r="AM48" s="9">
        <v>0</v>
      </c>
      <c r="AN48" s="29"/>
      <c r="AO48" s="12" t="s">
        <v>122</v>
      </c>
      <c r="AP48" s="12" t="s">
        <v>122</v>
      </c>
      <c r="AQ48" s="12"/>
      <c r="AR48" s="10">
        <v>1</v>
      </c>
      <c r="AS48" s="10"/>
      <c r="AT48" s="10"/>
      <c r="AU48" s="10">
        <v>1</v>
      </c>
      <c r="AV48" s="10">
        <v>1</v>
      </c>
      <c r="AW48" s="10"/>
      <c r="AX48" s="10"/>
      <c r="AY48" s="10"/>
      <c r="AZ48" s="11"/>
      <c r="BA48" s="11"/>
      <c r="BB48" s="10"/>
      <c r="BC48" s="10"/>
      <c r="BD48" s="10"/>
      <c r="BE48" s="10"/>
      <c r="BF48" s="10"/>
      <c r="BG48" s="10"/>
      <c r="BH48" s="10"/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/>
      <c r="BQ48" s="10"/>
      <c r="BR48" s="10"/>
      <c r="BS48" s="10"/>
      <c r="BT48" s="28"/>
    </row>
    <row r="49" spans="1:72" ht="17.25" customHeight="1" x14ac:dyDescent="0.3">
      <c r="A49" s="80"/>
      <c r="B49" s="41" t="s">
        <v>89</v>
      </c>
      <c r="C49" s="8" t="s">
        <v>90</v>
      </c>
      <c r="D49" s="8">
        <v>305</v>
      </c>
      <c r="E49" s="9">
        <v>1</v>
      </c>
      <c r="F49" s="9">
        <v>1</v>
      </c>
      <c r="G49" s="9">
        <v>1</v>
      </c>
      <c r="H49" s="9">
        <v>1</v>
      </c>
      <c r="I49" s="9">
        <v>1</v>
      </c>
      <c r="J49" s="12" t="s">
        <v>122</v>
      </c>
      <c r="K49" s="12"/>
      <c r="L49" s="12">
        <v>1</v>
      </c>
      <c r="M49" s="12">
        <v>1</v>
      </c>
      <c r="N49" s="12" t="s">
        <v>122</v>
      </c>
      <c r="O49" s="12">
        <v>1</v>
      </c>
      <c r="P49" s="12">
        <v>1</v>
      </c>
      <c r="Q49" s="9">
        <v>1</v>
      </c>
      <c r="R49" s="9" t="s">
        <v>125</v>
      </c>
      <c r="S49" s="12" t="s">
        <v>122</v>
      </c>
      <c r="T49" s="12">
        <v>0</v>
      </c>
      <c r="U49" s="12" t="s">
        <v>122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18">
        <v>0</v>
      </c>
      <c r="AG49" s="18">
        <v>0</v>
      </c>
      <c r="AH49" s="18">
        <v>0</v>
      </c>
      <c r="AI49" s="12" t="s">
        <v>122</v>
      </c>
      <c r="AJ49" s="12" t="s">
        <v>122</v>
      </c>
      <c r="AK49" s="12" t="s">
        <v>122</v>
      </c>
      <c r="AL49" s="9">
        <v>0</v>
      </c>
      <c r="AM49" s="9">
        <v>0</v>
      </c>
      <c r="AN49" s="29"/>
      <c r="AO49" s="12" t="s">
        <v>122</v>
      </c>
      <c r="AP49" s="12" t="s">
        <v>122</v>
      </c>
      <c r="AQ49" s="12"/>
      <c r="AR49" s="10">
        <v>1</v>
      </c>
      <c r="AS49" s="10"/>
      <c r="AT49" s="10"/>
      <c r="AU49" s="10">
        <v>1</v>
      </c>
      <c r="AV49" s="10">
        <v>1</v>
      </c>
      <c r="AW49" s="10"/>
      <c r="AX49" s="10"/>
      <c r="AY49" s="10"/>
      <c r="AZ49" s="11"/>
      <c r="BA49" s="11"/>
      <c r="BB49" s="10"/>
      <c r="BC49" s="10"/>
      <c r="BD49" s="10"/>
      <c r="BE49" s="10"/>
      <c r="BF49" s="10"/>
      <c r="BG49" s="10"/>
      <c r="BH49" s="10"/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/>
      <c r="BQ49" s="10"/>
      <c r="BR49" s="10"/>
      <c r="BS49" s="10"/>
      <c r="BT49" s="28"/>
    </row>
    <row r="50" spans="1:72" ht="17.25" customHeight="1" x14ac:dyDescent="0.3">
      <c r="A50" s="80"/>
      <c r="B50" s="41" t="s">
        <v>89</v>
      </c>
      <c r="C50" s="8" t="s">
        <v>91</v>
      </c>
      <c r="D50" s="8">
        <v>306</v>
      </c>
      <c r="E50" s="9">
        <v>1</v>
      </c>
      <c r="F50" s="9">
        <v>1</v>
      </c>
      <c r="G50" s="9">
        <v>1</v>
      </c>
      <c r="H50" s="9">
        <v>1</v>
      </c>
      <c r="I50" s="9">
        <v>1</v>
      </c>
      <c r="J50" s="12" t="s">
        <v>122</v>
      </c>
      <c r="K50" s="12"/>
      <c r="L50" s="12">
        <v>1</v>
      </c>
      <c r="M50" s="12">
        <v>0.5</v>
      </c>
      <c r="N50" s="12" t="s">
        <v>122</v>
      </c>
      <c r="O50" s="12">
        <v>0</v>
      </c>
      <c r="P50" s="12">
        <v>0</v>
      </c>
      <c r="Q50" s="9">
        <v>1</v>
      </c>
      <c r="R50" s="9" t="s">
        <v>125</v>
      </c>
      <c r="S50" s="12" t="s">
        <v>122</v>
      </c>
      <c r="T50" s="12">
        <v>0</v>
      </c>
      <c r="U50" s="12" t="s">
        <v>122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">
        <v>0</v>
      </c>
      <c r="AE50" s="9">
        <v>0</v>
      </c>
      <c r="AF50" s="18">
        <v>0</v>
      </c>
      <c r="AG50" s="18">
        <v>0</v>
      </c>
      <c r="AH50" s="18">
        <v>0</v>
      </c>
      <c r="AI50" s="12" t="s">
        <v>122</v>
      </c>
      <c r="AJ50" s="12" t="s">
        <v>122</v>
      </c>
      <c r="AK50" s="12" t="s">
        <v>122</v>
      </c>
      <c r="AL50" s="9">
        <v>0</v>
      </c>
      <c r="AM50" s="9">
        <v>0</v>
      </c>
      <c r="AN50" s="29"/>
      <c r="AO50" s="12" t="s">
        <v>122</v>
      </c>
      <c r="AP50" s="12" t="s">
        <v>122</v>
      </c>
      <c r="AQ50" s="12"/>
      <c r="AR50" s="10">
        <v>1</v>
      </c>
      <c r="AS50" s="10"/>
      <c r="AT50" s="10"/>
      <c r="AU50" s="10">
        <v>1</v>
      </c>
      <c r="AV50" s="10">
        <v>1</v>
      </c>
      <c r="AW50" s="10"/>
      <c r="AX50" s="10"/>
      <c r="AY50" s="10"/>
      <c r="AZ50" s="11"/>
      <c r="BA50" s="11"/>
      <c r="BB50" s="10"/>
      <c r="BC50" s="10"/>
      <c r="BD50" s="10"/>
      <c r="BE50" s="10"/>
      <c r="BF50" s="10"/>
      <c r="BG50" s="10"/>
      <c r="BH50" s="10"/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/>
      <c r="BQ50" s="10"/>
      <c r="BR50" s="10"/>
      <c r="BS50" s="10"/>
      <c r="BT50" s="28"/>
    </row>
    <row r="51" spans="1:72" ht="17.25" customHeight="1" x14ac:dyDescent="0.3">
      <c r="A51" s="80"/>
      <c r="B51" s="41" t="s">
        <v>89</v>
      </c>
      <c r="C51" s="8" t="s">
        <v>90</v>
      </c>
      <c r="D51" s="8">
        <v>307</v>
      </c>
      <c r="E51" s="9">
        <v>1</v>
      </c>
      <c r="F51" s="9">
        <v>1</v>
      </c>
      <c r="G51" s="9">
        <v>1</v>
      </c>
      <c r="H51" s="9">
        <v>1</v>
      </c>
      <c r="I51" s="9">
        <v>1</v>
      </c>
      <c r="J51" s="12" t="s">
        <v>122</v>
      </c>
      <c r="K51" s="12"/>
      <c r="L51" s="12">
        <v>1</v>
      </c>
      <c r="M51" s="12">
        <v>1</v>
      </c>
      <c r="N51" s="12" t="s">
        <v>122</v>
      </c>
      <c r="O51" s="12">
        <v>1</v>
      </c>
      <c r="P51" s="12">
        <v>1</v>
      </c>
      <c r="Q51" s="9">
        <v>1</v>
      </c>
      <c r="R51" s="9" t="s">
        <v>125</v>
      </c>
      <c r="S51" s="12" t="s">
        <v>122</v>
      </c>
      <c r="T51" s="12">
        <v>0</v>
      </c>
      <c r="U51" s="12" t="s">
        <v>122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18">
        <v>0</v>
      </c>
      <c r="AG51" s="18">
        <v>0</v>
      </c>
      <c r="AH51" s="18">
        <v>0</v>
      </c>
      <c r="AI51" s="12" t="s">
        <v>122</v>
      </c>
      <c r="AJ51" s="12" t="s">
        <v>122</v>
      </c>
      <c r="AK51" s="12" t="s">
        <v>122</v>
      </c>
      <c r="AL51" s="9">
        <v>0</v>
      </c>
      <c r="AM51" s="9">
        <v>0</v>
      </c>
      <c r="AN51" s="29"/>
      <c r="AO51" s="12" t="s">
        <v>122</v>
      </c>
      <c r="AP51" s="12" t="s">
        <v>122</v>
      </c>
      <c r="AQ51" s="12"/>
      <c r="AR51" s="10">
        <v>1</v>
      </c>
      <c r="AS51" s="10"/>
      <c r="AT51" s="10"/>
      <c r="AU51" s="10">
        <v>1</v>
      </c>
      <c r="AV51" s="10">
        <v>1</v>
      </c>
      <c r="AW51" s="10"/>
      <c r="AX51" s="10"/>
      <c r="AY51" s="10"/>
      <c r="AZ51" s="11"/>
      <c r="BA51" s="11"/>
      <c r="BB51" s="10"/>
      <c r="BC51" s="10"/>
      <c r="BD51" s="10"/>
      <c r="BE51" s="10"/>
      <c r="BF51" s="10"/>
      <c r="BG51" s="10"/>
      <c r="BH51" s="10"/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/>
      <c r="BQ51" s="10"/>
      <c r="BR51" s="10"/>
      <c r="BS51" s="10"/>
      <c r="BT51" s="28"/>
    </row>
    <row r="52" spans="1:72" ht="17.25" customHeight="1" x14ac:dyDescent="0.3">
      <c r="A52" s="80"/>
      <c r="B52" s="41" t="s">
        <v>89</v>
      </c>
      <c r="C52" s="8" t="s">
        <v>90</v>
      </c>
      <c r="D52" s="8">
        <v>318</v>
      </c>
      <c r="E52" s="9">
        <v>1</v>
      </c>
      <c r="F52" s="9">
        <v>1</v>
      </c>
      <c r="G52" s="9">
        <v>1</v>
      </c>
      <c r="H52" s="9">
        <v>1</v>
      </c>
      <c r="I52" s="9">
        <v>1</v>
      </c>
      <c r="J52" s="12" t="s">
        <v>122</v>
      </c>
      <c r="K52" s="12"/>
      <c r="L52" s="12">
        <v>1</v>
      </c>
      <c r="M52" s="12">
        <v>0.4</v>
      </c>
      <c r="N52" s="12" t="s">
        <v>122</v>
      </c>
      <c r="O52" s="12">
        <v>1</v>
      </c>
      <c r="P52" s="12">
        <v>0</v>
      </c>
      <c r="Q52" s="9">
        <v>1</v>
      </c>
      <c r="R52" s="9" t="s">
        <v>125</v>
      </c>
      <c r="S52" s="12" t="s">
        <v>122</v>
      </c>
      <c r="T52" s="12">
        <v>0</v>
      </c>
      <c r="U52" s="12" t="s">
        <v>122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9">
        <v>0</v>
      </c>
      <c r="AE52" s="9">
        <v>0</v>
      </c>
      <c r="AF52" s="18">
        <v>0</v>
      </c>
      <c r="AG52" s="18">
        <v>0</v>
      </c>
      <c r="AH52" s="18">
        <v>0</v>
      </c>
      <c r="AI52" s="12" t="s">
        <v>122</v>
      </c>
      <c r="AJ52" s="12" t="s">
        <v>122</v>
      </c>
      <c r="AK52" s="12" t="s">
        <v>122</v>
      </c>
      <c r="AL52" s="9">
        <v>0</v>
      </c>
      <c r="AM52" s="9">
        <v>0</v>
      </c>
      <c r="AN52" s="29"/>
      <c r="AO52" s="12" t="s">
        <v>122</v>
      </c>
      <c r="AP52" s="12" t="s">
        <v>122</v>
      </c>
      <c r="AQ52" s="12"/>
      <c r="AR52" s="10">
        <v>1</v>
      </c>
      <c r="AS52" s="10"/>
      <c r="AT52" s="10"/>
      <c r="AU52" s="10">
        <v>1</v>
      </c>
      <c r="AV52" s="10">
        <v>1</v>
      </c>
      <c r="AW52" s="10"/>
      <c r="AX52" s="10"/>
      <c r="AY52" s="10"/>
      <c r="AZ52" s="11"/>
      <c r="BA52" s="11"/>
      <c r="BB52" s="10"/>
      <c r="BC52" s="10"/>
      <c r="BD52" s="10"/>
      <c r="BE52" s="10"/>
      <c r="BF52" s="10"/>
      <c r="BG52" s="10"/>
      <c r="BH52" s="10"/>
      <c r="BI52" s="10">
        <v>0</v>
      </c>
      <c r="BJ52" s="10">
        <v>0</v>
      </c>
      <c r="BK52" s="10">
        <v>0</v>
      </c>
      <c r="BL52" s="10">
        <v>0</v>
      </c>
      <c r="BM52" s="10">
        <v>0</v>
      </c>
      <c r="BN52" s="10">
        <v>0</v>
      </c>
      <c r="BO52" s="10">
        <v>0</v>
      </c>
      <c r="BP52" s="10"/>
      <c r="BQ52" s="10"/>
      <c r="BR52" s="10"/>
      <c r="BS52" s="10"/>
      <c r="BT52" s="28"/>
    </row>
    <row r="53" spans="1:72" ht="17.25" customHeight="1" x14ac:dyDescent="0.3">
      <c r="A53" s="80"/>
      <c r="B53" s="41" t="s">
        <v>89</v>
      </c>
      <c r="C53" s="8" t="s">
        <v>90</v>
      </c>
      <c r="D53" s="8">
        <v>319</v>
      </c>
      <c r="E53" s="9">
        <v>1</v>
      </c>
      <c r="F53" s="9">
        <v>1</v>
      </c>
      <c r="G53" s="9">
        <v>1</v>
      </c>
      <c r="H53" s="9">
        <v>1</v>
      </c>
      <c r="I53" s="9">
        <v>1</v>
      </c>
      <c r="J53" s="12" t="s">
        <v>122</v>
      </c>
      <c r="K53" s="12"/>
      <c r="L53" s="12">
        <v>1</v>
      </c>
      <c r="M53" s="12">
        <v>1</v>
      </c>
      <c r="N53" s="12" t="s">
        <v>122</v>
      </c>
      <c r="O53" s="12">
        <v>1</v>
      </c>
      <c r="P53" s="12">
        <v>1</v>
      </c>
      <c r="Q53" s="9">
        <v>1</v>
      </c>
      <c r="R53" s="9" t="s">
        <v>125</v>
      </c>
      <c r="S53" s="12" t="s">
        <v>122</v>
      </c>
      <c r="T53" s="12">
        <v>0</v>
      </c>
      <c r="U53" s="12" t="s">
        <v>122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18">
        <v>0</v>
      </c>
      <c r="AG53" s="18">
        <v>0</v>
      </c>
      <c r="AH53" s="18">
        <v>0</v>
      </c>
      <c r="AI53" s="12" t="s">
        <v>122</v>
      </c>
      <c r="AJ53" s="12" t="s">
        <v>122</v>
      </c>
      <c r="AK53" s="12" t="s">
        <v>122</v>
      </c>
      <c r="AL53" s="9">
        <v>0</v>
      </c>
      <c r="AM53" s="9">
        <v>0</v>
      </c>
      <c r="AN53" s="29"/>
      <c r="AO53" s="12" t="s">
        <v>122</v>
      </c>
      <c r="AP53" s="12" t="s">
        <v>122</v>
      </c>
      <c r="AQ53" s="12"/>
      <c r="AR53" s="10">
        <v>1</v>
      </c>
      <c r="AS53" s="10"/>
      <c r="AT53" s="10"/>
      <c r="AU53" s="10">
        <v>1</v>
      </c>
      <c r="AV53" s="10">
        <v>1</v>
      </c>
      <c r="AW53" s="10"/>
      <c r="AX53" s="10"/>
      <c r="AY53" s="10"/>
      <c r="AZ53" s="11"/>
      <c r="BA53" s="11"/>
      <c r="BB53" s="10"/>
      <c r="BC53" s="10"/>
      <c r="BD53" s="10"/>
      <c r="BE53" s="10"/>
      <c r="BF53" s="10"/>
      <c r="BG53" s="10"/>
      <c r="BH53" s="10"/>
      <c r="BI53" s="10">
        <v>0</v>
      </c>
      <c r="BJ53" s="10">
        <v>0</v>
      </c>
      <c r="BK53" s="10">
        <v>0</v>
      </c>
      <c r="BL53" s="10">
        <v>0</v>
      </c>
      <c r="BM53" s="10">
        <v>0</v>
      </c>
      <c r="BN53" s="10">
        <v>0</v>
      </c>
      <c r="BO53" s="10">
        <v>0</v>
      </c>
      <c r="BP53" s="10"/>
      <c r="BQ53" s="10"/>
      <c r="BR53" s="10"/>
      <c r="BS53" s="10"/>
      <c r="BT53" s="28"/>
    </row>
    <row r="54" spans="1:72" ht="17.25" customHeight="1" x14ac:dyDescent="0.3">
      <c r="A54" s="80"/>
      <c r="B54" s="41" t="s">
        <v>89</v>
      </c>
      <c r="C54" s="8" t="s">
        <v>90</v>
      </c>
      <c r="D54" s="8">
        <v>320</v>
      </c>
      <c r="E54" s="9">
        <v>1</v>
      </c>
      <c r="F54" s="9">
        <v>1</v>
      </c>
      <c r="G54" s="9">
        <v>1</v>
      </c>
      <c r="H54" s="9">
        <v>1</v>
      </c>
      <c r="I54" s="9">
        <v>1</v>
      </c>
      <c r="J54" s="12" t="s">
        <v>122</v>
      </c>
      <c r="K54" s="12"/>
      <c r="L54" s="12">
        <v>1</v>
      </c>
      <c r="M54" s="12">
        <v>1</v>
      </c>
      <c r="N54" s="12" t="s">
        <v>122</v>
      </c>
      <c r="O54" s="12">
        <v>1</v>
      </c>
      <c r="P54" s="12">
        <v>1</v>
      </c>
      <c r="Q54" s="9">
        <v>1</v>
      </c>
      <c r="R54" s="9" t="s">
        <v>125</v>
      </c>
      <c r="S54" s="12" t="s">
        <v>122</v>
      </c>
      <c r="T54" s="12">
        <v>0</v>
      </c>
      <c r="U54" s="12" t="s">
        <v>122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9">
        <v>0</v>
      </c>
      <c r="AE54" s="9">
        <v>0</v>
      </c>
      <c r="AF54" s="18">
        <v>0</v>
      </c>
      <c r="AG54" s="18">
        <v>0</v>
      </c>
      <c r="AH54" s="18">
        <v>0</v>
      </c>
      <c r="AI54" s="12" t="s">
        <v>122</v>
      </c>
      <c r="AJ54" s="12" t="s">
        <v>122</v>
      </c>
      <c r="AK54" s="12" t="s">
        <v>122</v>
      </c>
      <c r="AL54" s="9">
        <v>0</v>
      </c>
      <c r="AM54" s="9">
        <v>0</v>
      </c>
      <c r="AN54" s="29"/>
      <c r="AO54" s="12" t="s">
        <v>122</v>
      </c>
      <c r="AP54" s="12" t="s">
        <v>122</v>
      </c>
      <c r="AQ54" s="12"/>
      <c r="AR54" s="10">
        <v>1</v>
      </c>
      <c r="AS54" s="10"/>
      <c r="AT54" s="10"/>
      <c r="AU54" s="10">
        <v>1</v>
      </c>
      <c r="AV54" s="10">
        <v>1</v>
      </c>
      <c r="AW54" s="10"/>
      <c r="AX54" s="10"/>
      <c r="AY54" s="10"/>
      <c r="AZ54" s="11"/>
      <c r="BA54" s="11"/>
      <c r="BB54" s="10"/>
      <c r="BC54" s="10"/>
      <c r="BD54" s="10"/>
      <c r="BE54" s="10"/>
      <c r="BF54" s="10"/>
      <c r="BG54" s="10"/>
      <c r="BH54" s="10"/>
      <c r="BI54" s="10">
        <v>0</v>
      </c>
      <c r="BJ54" s="10">
        <v>0</v>
      </c>
      <c r="BK54" s="10">
        <v>0</v>
      </c>
      <c r="BL54" s="10">
        <v>0</v>
      </c>
      <c r="BM54" s="10">
        <v>0</v>
      </c>
      <c r="BN54" s="10">
        <v>0</v>
      </c>
      <c r="BO54" s="10">
        <v>0</v>
      </c>
      <c r="BP54" s="10"/>
      <c r="BQ54" s="10"/>
      <c r="BR54" s="10"/>
      <c r="BS54" s="10"/>
      <c r="BT54" s="28"/>
    </row>
    <row r="55" spans="1:72" ht="17.25" customHeight="1" x14ac:dyDescent="0.3">
      <c r="A55" s="80"/>
      <c r="B55" s="45" t="s">
        <v>89</v>
      </c>
      <c r="C55" s="46" t="s">
        <v>91</v>
      </c>
      <c r="D55" s="46">
        <v>335</v>
      </c>
      <c r="E55" s="9">
        <v>1</v>
      </c>
      <c r="F55" s="9">
        <v>1</v>
      </c>
      <c r="G55" s="9">
        <v>1</v>
      </c>
      <c r="H55" s="9">
        <v>1</v>
      </c>
      <c r="I55" s="9">
        <v>1</v>
      </c>
      <c r="J55" s="12" t="s">
        <v>122</v>
      </c>
      <c r="K55" s="49"/>
      <c r="L55" s="49">
        <v>1</v>
      </c>
      <c r="M55" s="49"/>
      <c r="N55" s="12" t="s">
        <v>122</v>
      </c>
      <c r="O55" s="49"/>
      <c r="P55" s="49">
        <v>0</v>
      </c>
      <c r="Q55" s="9">
        <v>1</v>
      </c>
      <c r="R55" s="9" t="s">
        <v>125</v>
      </c>
      <c r="S55" s="12" t="s">
        <v>122</v>
      </c>
      <c r="T55" s="12">
        <v>0</v>
      </c>
      <c r="U55" s="12" t="s">
        <v>122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18">
        <v>0</v>
      </c>
      <c r="AG55" s="18">
        <v>0</v>
      </c>
      <c r="AH55" s="18">
        <v>0</v>
      </c>
      <c r="AI55" s="12" t="s">
        <v>122</v>
      </c>
      <c r="AJ55" s="12" t="s">
        <v>122</v>
      </c>
      <c r="AK55" s="12" t="s">
        <v>122</v>
      </c>
      <c r="AL55" s="9">
        <v>0</v>
      </c>
      <c r="AM55" s="9">
        <v>0</v>
      </c>
      <c r="AN55" s="52"/>
      <c r="AO55" s="12" t="s">
        <v>122</v>
      </c>
      <c r="AP55" s="12" t="s">
        <v>122</v>
      </c>
      <c r="AQ55" s="49"/>
      <c r="AR55" s="49">
        <v>1</v>
      </c>
      <c r="AS55" s="49"/>
      <c r="AT55" s="49"/>
      <c r="AU55" s="10">
        <v>1</v>
      </c>
      <c r="AV55" s="10">
        <v>1</v>
      </c>
      <c r="AW55" s="49"/>
      <c r="AX55" s="49"/>
      <c r="AY55" s="49"/>
      <c r="AZ55" s="50"/>
      <c r="BA55" s="50"/>
      <c r="BB55" s="49"/>
      <c r="BC55" s="49"/>
      <c r="BD55" s="49"/>
      <c r="BE55" s="49"/>
      <c r="BF55" s="49"/>
      <c r="BG55" s="49"/>
      <c r="BH55" s="49"/>
      <c r="BI55" s="10">
        <v>0</v>
      </c>
      <c r="BJ55" s="10">
        <v>0</v>
      </c>
      <c r="BK55" s="10">
        <v>0</v>
      </c>
      <c r="BL55" s="10">
        <v>0</v>
      </c>
      <c r="BM55" s="10">
        <v>0</v>
      </c>
      <c r="BN55" s="10">
        <v>0</v>
      </c>
      <c r="BO55" s="10">
        <v>0</v>
      </c>
      <c r="BP55" s="49"/>
      <c r="BQ55" s="49"/>
      <c r="BR55" s="49"/>
      <c r="BS55" s="49"/>
      <c r="BT55" s="51"/>
    </row>
    <row r="56" spans="1:72" ht="17.25" customHeight="1" x14ac:dyDescent="0.3">
      <c r="A56" s="80"/>
      <c r="B56" s="45" t="s">
        <v>89</v>
      </c>
      <c r="C56" s="46" t="s">
        <v>90</v>
      </c>
      <c r="D56" s="46">
        <v>336</v>
      </c>
      <c r="E56" s="9">
        <v>1</v>
      </c>
      <c r="F56" s="9">
        <v>1</v>
      </c>
      <c r="G56" s="9">
        <v>1</v>
      </c>
      <c r="H56" s="9">
        <v>1</v>
      </c>
      <c r="I56" s="9">
        <v>1</v>
      </c>
      <c r="J56" s="12" t="s">
        <v>122</v>
      </c>
      <c r="K56" s="49"/>
      <c r="L56" s="49">
        <v>1</v>
      </c>
      <c r="M56" s="49">
        <v>0.5</v>
      </c>
      <c r="N56" s="12" t="s">
        <v>122</v>
      </c>
      <c r="O56" s="49">
        <v>1</v>
      </c>
      <c r="P56" s="49">
        <v>0</v>
      </c>
      <c r="Q56" s="9">
        <v>1</v>
      </c>
      <c r="R56" s="9" t="s">
        <v>125</v>
      </c>
      <c r="S56" s="12" t="s">
        <v>122</v>
      </c>
      <c r="T56" s="12">
        <v>0</v>
      </c>
      <c r="U56" s="12" t="s">
        <v>122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9">
        <v>0</v>
      </c>
      <c r="AC56" s="9">
        <v>0</v>
      </c>
      <c r="AD56" s="9">
        <v>0</v>
      </c>
      <c r="AE56" s="9">
        <v>0</v>
      </c>
      <c r="AF56" s="18">
        <v>0</v>
      </c>
      <c r="AG56" s="18">
        <v>0</v>
      </c>
      <c r="AH56" s="18">
        <v>0</v>
      </c>
      <c r="AI56" s="12" t="s">
        <v>122</v>
      </c>
      <c r="AJ56" s="12" t="s">
        <v>122</v>
      </c>
      <c r="AK56" s="12" t="s">
        <v>122</v>
      </c>
      <c r="AL56" s="9">
        <v>0</v>
      </c>
      <c r="AM56" s="9">
        <v>0</v>
      </c>
      <c r="AN56" s="52"/>
      <c r="AO56" s="12" t="s">
        <v>122</v>
      </c>
      <c r="AP56" s="12" t="s">
        <v>122</v>
      </c>
      <c r="AQ56" s="49"/>
      <c r="AR56" s="49">
        <v>0</v>
      </c>
      <c r="AS56" s="49"/>
      <c r="AT56" s="49"/>
      <c r="AU56" s="10">
        <v>1</v>
      </c>
      <c r="AV56" s="10">
        <v>1</v>
      </c>
      <c r="AW56" s="49"/>
      <c r="AX56" s="49"/>
      <c r="AY56" s="49"/>
      <c r="AZ56" s="50"/>
      <c r="BA56" s="50"/>
      <c r="BB56" s="49"/>
      <c r="BC56" s="49"/>
      <c r="BD56" s="49"/>
      <c r="BE56" s="49"/>
      <c r="BF56" s="49"/>
      <c r="BG56" s="49"/>
      <c r="BH56" s="49"/>
      <c r="BI56" s="10">
        <v>0</v>
      </c>
      <c r="BJ56" s="10">
        <v>0</v>
      </c>
      <c r="BK56" s="10">
        <v>0</v>
      </c>
      <c r="BL56" s="10">
        <v>0</v>
      </c>
      <c r="BM56" s="10">
        <v>0</v>
      </c>
      <c r="BN56" s="10">
        <v>0</v>
      </c>
      <c r="BO56" s="10">
        <v>0</v>
      </c>
      <c r="BP56" s="49"/>
      <c r="BQ56" s="49"/>
      <c r="BR56" s="49"/>
      <c r="BS56" s="49"/>
      <c r="BT56" s="51"/>
    </row>
    <row r="57" spans="1:72" ht="17.25" customHeight="1" x14ac:dyDescent="0.3">
      <c r="A57" s="80"/>
      <c r="B57" s="41" t="s">
        <v>89</v>
      </c>
      <c r="C57" s="8" t="s">
        <v>90</v>
      </c>
      <c r="D57" s="8">
        <v>337</v>
      </c>
      <c r="E57" s="9">
        <v>1</v>
      </c>
      <c r="F57" s="9">
        <v>1</v>
      </c>
      <c r="G57" s="9">
        <v>1</v>
      </c>
      <c r="H57" s="9">
        <v>1</v>
      </c>
      <c r="I57" s="9">
        <v>1</v>
      </c>
      <c r="J57" s="12" t="s">
        <v>122</v>
      </c>
      <c r="K57" s="12"/>
      <c r="L57" s="12">
        <v>1</v>
      </c>
      <c r="M57" s="12">
        <v>0.5</v>
      </c>
      <c r="N57" s="12" t="s">
        <v>122</v>
      </c>
      <c r="O57" s="12">
        <v>0</v>
      </c>
      <c r="P57" s="12">
        <v>0</v>
      </c>
      <c r="Q57" s="9">
        <v>1</v>
      </c>
      <c r="R57" s="9" t="s">
        <v>125</v>
      </c>
      <c r="S57" s="12" t="s">
        <v>122</v>
      </c>
      <c r="T57" s="12">
        <v>0</v>
      </c>
      <c r="U57" s="12" t="s">
        <v>122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18">
        <v>0</v>
      </c>
      <c r="AG57" s="18">
        <v>0</v>
      </c>
      <c r="AH57" s="18">
        <v>0</v>
      </c>
      <c r="AI57" s="12" t="s">
        <v>122</v>
      </c>
      <c r="AJ57" s="12" t="s">
        <v>122</v>
      </c>
      <c r="AK57" s="12" t="s">
        <v>122</v>
      </c>
      <c r="AL57" s="9">
        <v>0</v>
      </c>
      <c r="AM57" s="9">
        <v>0</v>
      </c>
      <c r="AN57" s="29"/>
      <c r="AO57" s="12" t="s">
        <v>122</v>
      </c>
      <c r="AP57" s="12" t="s">
        <v>122</v>
      </c>
      <c r="AQ57" s="12"/>
      <c r="AR57" s="10">
        <v>1</v>
      </c>
      <c r="AS57" s="10"/>
      <c r="AT57" s="10"/>
      <c r="AU57" s="10">
        <v>1</v>
      </c>
      <c r="AV57" s="10">
        <v>1</v>
      </c>
      <c r="AW57" s="10"/>
      <c r="AX57" s="10"/>
      <c r="AY57" s="10"/>
      <c r="AZ57" s="11"/>
      <c r="BA57" s="11"/>
      <c r="BB57" s="10"/>
      <c r="BC57" s="10"/>
      <c r="BD57" s="10"/>
      <c r="BE57" s="10"/>
      <c r="BF57" s="10"/>
      <c r="BG57" s="10"/>
      <c r="BH57" s="10"/>
      <c r="BI57" s="10">
        <v>0</v>
      </c>
      <c r="BJ57" s="10">
        <v>0</v>
      </c>
      <c r="BK57" s="10">
        <v>0</v>
      </c>
      <c r="BL57" s="10">
        <v>0</v>
      </c>
      <c r="BM57" s="10">
        <v>0</v>
      </c>
      <c r="BN57" s="10">
        <v>0</v>
      </c>
      <c r="BO57" s="10">
        <v>0</v>
      </c>
      <c r="BP57" s="10"/>
      <c r="BQ57" s="10"/>
      <c r="BR57" s="10"/>
      <c r="BS57" s="10"/>
      <c r="BT57" s="28"/>
    </row>
    <row r="58" spans="1:72" ht="17.25" customHeight="1" x14ac:dyDescent="0.3">
      <c r="A58" s="80"/>
      <c r="B58" s="41" t="s">
        <v>89</v>
      </c>
      <c r="C58" s="8" t="s">
        <v>90</v>
      </c>
      <c r="D58" s="8">
        <v>338</v>
      </c>
      <c r="E58" s="9">
        <v>1</v>
      </c>
      <c r="F58" s="9">
        <v>1</v>
      </c>
      <c r="G58" s="9">
        <v>1</v>
      </c>
      <c r="H58" s="9">
        <v>1</v>
      </c>
      <c r="I58" s="9">
        <v>1</v>
      </c>
      <c r="J58" s="12" t="s">
        <v>122</v>
      </c>
      <c r="K58" s="12"/>
      <c r="L58" s="12">
        <v>1</v>
      </c>
      <c r="M58" s="12">
        <v>0.5</v>
      </c>
      <c r="N58" s="12" t="s">
        <v>122</v>
      </c>
      <c r="O58" s="12">
        <v>1</v>
      </c>
      <c r="P58" s="12">
        <v>0</v>
      </c>
      <c r="Q58" s="9">
        <v>1</v>
      </c>
      <c r="R58" s="9" t="s">
        <v>125</v>
      </c>
      <c r="S58" s="12" t="s">
        <v>122</v>
      </c>
      <c r="T58" s="12">
        <v>0</v>
      </c>
      <c r="U58" s="12" t="s">
        <v>122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  <c r="AD58" s="9">
        <v>0</v>
      </c>
      <c r="AE58" s="9">
        <v>0</v>
      </c>
      <c r="AF58" s="18">
        <v>0</v>
      </c>
      <c r="AG58" s="18">
        <v>0</v>
      </c>
      <c r="AH58" s="18">
        <v>0</v>
      </c>
      <c r="AI58" s="12" t="s">
        <v>122</v>
      </c>
      <c r="AJ58" s="12" t="s">
        <v>122</v>
      </c>
      <c r="AK58" s="12" t="s">
        <v>122</v>
      </c>
      <c r="AL58" s="9">
        <v>0</v>
      </c>
      <c r="AM58" s="9">
        <v>0</v>
      </c>
      <c r="AN58" s="29"/>
      <c r="AO58" s="12" t="s">
        <v>122</v>
      </c>
      <c r="AP58" s="12" t="s">
        <v>122</v>
      </c>
      <c r="AQ58" s="12"/>
      <c r="AR58" s="10">
        <v>1</v>
      </c>
      <c r="AS58" s="10"/>
      <c r="AT58" s="10"/>
      <c r="AU58" s="10">
        <v>1</v>
      </c>
      <c r="AV58" s="10">
        <v>1</v>
      </c>
      <c r="AW58" s="10"/>
      <c r="AX58" s="10"/>
      <c r="AY58" s="10"/>
      <c r="AZ58" s="11"/>
      <c r="BA58" s="11"/>
      <c r="BB58" s="10"/>
      <c r="BC58" s="10"/>
      <c r="BD58" s="10"/>
      <c r="BE58" s="10"/>
      <c r="BF58" s="10"/>
      <c r="BG58" s="10"/>
      <c r="BH58" s="10"/>
      <c r="BI58" s="10">
        <v>0</v>
      </c>
      <c r="BJ58" s="10">
        <v>0</v>
      </c>
      <c r="BK58" s="10">
        <v>0</v>
      </c>
      <c r="BL58" s="10">
        <v>0</v>
      </c>
      <c r="BM58" s="10">
        <v>0</v>
      </c>
      <c r="BN58" s="10">
        <v>0</v>
      </c>
      <c r="BO58" s="10">
        <v>0</v>
      </c>
      <c r="BP58" s="10"/>
      <c r="BQ58" s="10"/>
      <c r="BR58" s="10"/>
      <c r="BS58" s="10"/>
      <c r="BT58" s="28"/>
    </row>
    <row r="59" spans="1:72" ht="17.25" customHeight="1" x14ac:dyDescent="0.3">
      <c r="A59" s="80"/>
      <c r="B59" s="41" t="s">
        <v>89</v>
      </c>
      <c r="C59" s="8" t="s">
        <v>90</v>
      </c>
      <c r="D59" s="8">
        <v>339</v>
      </c>
      <c r="E59" s="9">
        <v>1</v>
      </c>
      <c r="F59" s="9">
        <v>1</v>
      </c>
      <c r="G59" s="9">
        <v>1</v>
      </c>
      <c r="H59" s="9">
        <v>1</v>
      </c>
      <c r="I59" s="9">
        <v>1</v>
      </c>
      <c r="J59" s="12" t="s">
        <v>122</v>
      </c>
      <c r="K59" s="12"/>
      <c r="L59" s="12">
        <v>0</v>
      </c>
      <c r="M59" s="12"/>
      <c r="N59" s="12" t="s">
        <v>122</v>
      </c>
      <c r="O59" s="12">
        <v>0</v>
      </c>
      <c r="P59" s="12">
        <v>0</v>
      </c>
      <c r="Q59" s="9">
        <v>1</v>
      </c>
      <c r="R59" s="9" t="s">
        <v>125</v>
      </c>
      <c r="S59" s="12" t="s">
        <v>122</v>
      </c>
      <c r="T59" s="12">
        <v>0</v>
      </c>
      <c r="U59" s="12" t="s">
        <v>122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18">
        <v>0</v>
      </c>
      <c r="AG59" s="18">
        <v>0</v>
      </c>
      <c r="AH59" s="18">
        <v>0</v>
      </c>
      <c r="AI59" s="12" t="s">
        <v>122</v>
      </c>
      <c r="AJ59" s="12" t="s">
        <v>122</v>
      </c>
      <c r="AK59" s="12" t="s">
        <v>122</v>
      </c>
      <c r="AL59" s="9">
        <v>0</v>
      </c>
      <c r="AM59" s="9">
        <v>0</v>
      </c>
      <c r="AN59" s="29"/>
      <c r="AO59" s="12" t="s">
        <v>122</v>
      </c>
      <c r="AP59" s="12" t="s">
        <v>122</v>
      </c>
      <c r="AQ59" s="12"/>
      <c r="AR59" s="10">
        <v>1</v>
      </c>
      <c r="AS59" s="10"/>
      <c r="AT59" s="10"/>
      <c r="AU59" s="10">
        <v>1</v>
      </c>
      <c r="AV59" s="10">
        <v>1</v>
      </c>
      <c r="AW59" s="10"/>
      <c r="AX59" s="10"/>
      <c r="AY59" s="10"/>
      <c r="AZ59" s="11"/>
      <c r="BA59" s="11"/>
      <c r="BB59" s="10"/>
      <c r="BC59" s="10"/>
      <c r="BD59" s="10"/>
      <c r="BE59" s="10"/>
      <c r="BF59" s="10"/>
      <c r="BG59" s="10"/>
      <c r="BH59" s="10"/>
      <c r="BI59" s="10">
        <v>0</v>
      </c>
      <c r="BJ59" s="10">
        <v>0</v>
      </c>
      <c r="BK59" s="10">
        <v>0</v>
      </c>
      <c r="BL59" s="10">
        <v>0</v>
      </c>
      <c r="BM59" s="10">
        <v>0</v>
      </c>
      <c r="BN59" s="10">
        <v>0</v>
      </c>
      <c r="BO59" s="10">
        <v>0</v>
      </c>
      <c r="BP59" s="10"/>
      <c r="BQ59" s="10"/>
      <c r="BR59" s="10"/>
      <c r="BS59" s="10"/>
      <c r="BT59" s="28"/>
    </row>
    <row r="60" spans="1:72" ht="17.25" customHeight="1" x14ac:dyDescent="0.3">
      <c r="A60" s="80"/>
      <c r="B60" s="41" t="s">
        <v>89</v>
      </c>
      <c r="C60" s="8" t="s">
        <v>90</v>
      </c>
      <c r="D60" s="8">
        <v>340</v>
      </c>
      <c r="E60" s="9">
        <v>1</v>
      </c>
      <c r="F60" s="9">
        <v>1</v>
      </c>
      <c r="G60" s="9">
        <v>1</v>
      </c>
      <c r="H60" s="9">
        <v>1</v>
      </c>
      <c r="I60" s="9">
        <v>1</v>
      </c>
      <c r="J60" s="12" t="s">
        <v>122</v>
      </c>
      <c r="K60" s="10"/>
      <c r="L60" s="10">
        <v>1</v>
      </c>
      <c r="M60" s="10">
        <v>0.5</v>
      </c>
      <c r="N60" s="12" t="s">
        <v>122</v>
      </c>
      <c r="O60" s="10">
        <v>1</v>
      </c>
      <c r="P60" s="10">
        <v>0</v>
      </c>
      <c r="Q60" s="9">
        <v>1</v>
      </c>
      <c r="R60" s="9" t="s">
        <v>125</v>
      </c>
      <c r="S60" s="12" t="s">
        <v>122</v>
      </c>
      <c r="T60" s="12">
        <v>0</v>
      </c>
      <c r="U60" s="12" t="s">
        <v>122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9">
        <v>0</v>
      </c>
      <c r="AE60" s="9">
        <v>0</v>
      </c>
      <c r="AF60" s="18">
        <v>0</v>
      </c>
      <c r="AG60" s="18">
        <v>0</v>
      </c>
      <c r="AH60" s="18">
        <v>0</v>
      </c>
      <c r="AI60" s="12" t="s">
        <v>122</v>
      </c>
      <c r="AJ60" s="12" t="s">
        <v>122</v>
      </c>
      <c r="AK60" s="12" t="s">
        <v>122</v>
      </c>
      <c r="AL60" s="9">
        <v>0</v>
      </c>
      <c r="AM60" s="9">
        <v>0</v>
      </c>
      <c r="AN60" s="34"/>
      <c r="AO60" s="12" t="s">
        <v>122</v>
      </c>
      <c r="AP60" s="12" t="s">
        <v>122</v>
      </c>
      <c r="AQ60" s="10"/>
      <c r="AR60" s="10">
        <v>1</v>
      </c>
      <c r="AS60" s="10"/>
      <c r="AT60" s="10"/>
      <c r="AU60" s="10">
        <v>1</v>
      </c>
      <c r="AV60" s="10">
        <v>1</v>
      </c>
      <c r="AW60" s="10"/>
      <c r="AX60" s="10"/>
      <c r="AY60" s="10"/>
      <c r="AZ60" s="11"/>
      <c r="BA60" s="11"/>
      <c r="BB60" s="10"/>
      <c r="BC60" s="10"/>
      <c r="BD60" s="10"/>
      <c r="BE60" s="10"/>
      <c r="BF60" s="10"/>
      <c r="BG60" s="10"/>
      <c r="BH60" s="10"/>
      <c r="BI60" s="10">
        <v>0</v>
      </c>
      <c r="BJ60" s="10">
        <v>0</v>
      </c>
      <c r="BK60" s="10">
        <v>0</v>
      </c>
      <c r="BL60" s="10">
        <v>0</v>
      </c>
      <c r="BM60" s="10">
        <v>0</v>
      </c>
      <c r="BN60" s="10">
        <v>0</v>
      </c>
      <c r="BO60" s="10">
        <v>0</v>
      </c>
      <c r="BP60" s="10"/>
      <c r="BQ60" s="10"/>
      <c r="BR60" s="10"/>
      <c r="BS60" s="10"/>
      <c r="BT60" s="28"/>
    </row>
    <row r="61" spans="1:72" ht="17.25" customHeight="1" x14ac:dyDescent="0.3">
      <c r="A61" s="80"/>
      <c r="B61" s="42" t="s">
        <v>92</v>
      </c>
      <c r="C61" s="13" t="s">
        <v>90</v>
      </c>
      <c r="D61" s="13">
        <v>308</v>
      </c>
      <c r="E61" s="9">
        <v>1</v>
      </c>
      <c r="F61" s="9">
        <v>1</v>
      </c>
      <c r="G61" s="9">
        <v>1</v>
      </c>
      <c r="H61" s="9">
        <v>1</v>
      </c>
      <c r="I61" s="9">
        <v>1</v>
      </c>
      <c r="J61" s="15" t="s">
        <v>122</v>
      </c>
      <c r="K61" s="15"/>
      <c r="L61" s="15">
        <v>1</v>
      </c>
      <c r="M61" s="15">
        <v>0.5</v>
      </c>
      <c r="N61" s="15" t="s">
        <v>122</v>
      </c>
      <c r="O61" s="15">
        <v>1</v>
      </c>
      <c r="P61" s="15">
        <v>0</v>
      </c>
      <c r="Q61" s="9">
        <v>1</v>
      </c>
      <c r="R61" s="9" t="s">
        <v>125</v>
      </c>
      <c r="S61" s="15" t="s">
        <v>122</v>
      </c>
      <c r="T61" s="15">
        <v>0</v>
      </c>
      <c r="U61" s="15" t="s">
        <v>122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18">
        <v>0</v>
      </c>
      <c r="AG61" s="18">
        <v>0</v>
      </c>
      <c r="AH61" s="18">
        <v>0</v>
      </c>
      <c r="AI61" s="15" t="s">
        <v>122</v>
      </c>
      <c r="AJ61" s="15" t="s">
        <v>122</v>
      </c>
      <c r="AK61" s="15" t="s">
        <v>122</v>
      </c>
      <c r="AL61" s="9">
        <v>0</v>
      </c>
      <c r="AM61" s="9">
        <v>0</v>
      </c>
      <c r="AN61" s="35"/>
      <c r="AO61" s="15" t="s">
        <v>122</v>
      </c>
      <c r="AP61" s="15" t="s">
        <v>122</v>
      </c>
      <c r="AQ61" s="15"/>
      <c r="AR61" s="15">
        <v>1</v>
      </c>
      <c r="AS61" s="15"/>
      <c r="AT61" s="15"/>
      <c r="AU61" s="10">
        <v>1</v>
      </c>
      <c r="AV61" s="10">
        <v>1</v>
      </c>
      <c r="AW61" s="15"/>
      <c r="AX61" s="15"/>
      <c r="AY61" s="15"/>
      <c r="AZ61" s="16"/>
      <c r="BA61" s="16"/>
      <c r="BB61" s="15"/>
      <c r="BC61" s="15"/>
      <c r="BD61" s="15"/>
      <c r="BE61" s="15"/>
      <c r="BF61" s="15"/>
      <c r="BG61" s="15"/>
      <c r="BH61" s="15"/>
      <c r="BI61" s="10">
        <v>0</v>
      </c>
      <c r="BJ61" s="10">
        <v>0</v>
      </c>
      <c r="BK61" s="10">
        <v>0</v>
      </c>
      <c r="BL61" s="10">
        <v>0</v>
      </c>
      <c r="BM61" s="10">
        <v>0</v>
      </c>
      <c r="BN61" s="10">
        <v>0</v>
      </c>
      <c r="BO61" s="10">
        <v>0</v>
      </c>
      <c r="BP61" s="15"/>
      <c r="BQ61" s="15"/>
      <c r="BR61" s="15"/>
      <c r="BS61" s="15"/>
      <c r="BT61" s="31"/>
    </row>
    <row r="62" spans="1:72" ht="17.25" customHeight="1" x14ac:dyDescent="0.3">
      <c r="A62" s="80"/>
      <c r="B62" s="42" t="s">
        <v>92</v>
      </c>
      <c r="C62" s="13" t="s">
        <v>91</v>
      </c>
      <c r="D62" s="13">
        <v>309</v>
      </c>
      <c r="E62" s="9">
        <v>1</v>
      </c>
      <c r="F62" s="9">
        <v>1</v>
      </c>
      <c r="G62" s="9">
        <v>1</v>
      </c>
      <c r="H62" s="9">
        <v>1</v>
      </c>
      <c r="I62" s="9">
        <v>1</v>
      </c>
      <c r="J62" s="15" t="s">
        <v>122</v>
      </c>
      <c r="K62" s="15"/>
      <c r="L62" s="15">
        <v>1</v>
      </c>
      <c r="M62" s="15"/>
      <c r="N62" s="15" t="s">
        <v>122</v>
      </c>
      <c r="O62" s="15">
        <v>0</v>
      </c>
      <c r="P62" s="15">
        <v>0</v>
      </c>
      <c r="Q62" s="9">
        <v>1</v>
      </c>
      <c r="R62" s="9" t="s">
        <v>125</v>
      </c>
      <c r="S62" s="15" t="s">
        <v>122</v>
      </c>
      <c r="T62" s="15">
        <v>0</v>
      </c>
      <c r="U62" s="15" t="s">
        <v>122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9">
        <v>0</v>
      </c>
      <c r="AC62" s="9">
        <v>0</v>
      </c>
      <c r="AD62" s="9">
        <v>0</v>
      </c>
      <c r="AE62" s="9">
        <v>0</v>
      </c>
      <c r="AF62" s="18">
        <v>0</v>
      </c>
      <c r="AG62" s="18">
        <v>0</v>
      </c>
      <c r="AH62" s="18">
        <v>0</v>
      </c>
      <c r="AI62" s="15" t="s">
        <v>122</v>
      </c>
      <c r="AJ62" s="15" t="s">
        <v>122</v>
      </c>
      <c r="AK62" s="15" t="s">
        <v>122</v>
      </c>
      <c r="AL62" s="9">
        <v>0</v>
      </c>
      <c r="AM62" s="9">
        <v>0</v>
      </c>
      <c r="AN62" s="35"/>
      <c r="AO62" s="15" t="s">
        <v>122</v>
      </c>
      <c r="AP62" s="15" t="s">
        <v>122</v>
      </c>
      <c r="AQ62" s="15"/>
      <c r="AR62" s="15">
        <v>1</v>
      </c>
      <c r="AS62" s="15"/>
      <c r="AT62" s="15"/>
      <c r="AU62" s="10">
        <v>1</v>
      </c>
      <c r="AV62" s="10">
        <v>1</v>
      </c>
      <c r="AW62" s="15"/>
      <c r="AX62" s="15"/>
      <c r="AY62" s="15"/>
      <c r="AZ62" s="16"/>
      <c r="BA62" s="16"/>
      <c r="BB62" s="15"/>
      <c r="BC62" s="15"/>
      <c r="BD62" s="15"/>
      <c r="BE62" s="15"/>
      <c r="BF62" s="15"/>
      <c r="BG62" s="15"/>
      <c r="BH62" s="15"/>
      <c r="BI62" s="10">
        <v>0</v>
      </c>
      <c r="BJ62" s="10">
        <v>0</v>
      </c>
      <c r="BK62" s="10">
        <v>0</v>
      </c>
      <c r="BL62" s="10">
        <v>0</v>
      </c>
      <c r="BM62" s="10">
        <v>0</v>
      </c>
      <c r="BN62" s="10">
        <v>0</v>
      </c>
      <c r="BO62" s="10">
        <v>0</v>
      </c>
      <c r="BP62" s="15"/>
      <c r="BQ62" s="15"/>
      <c r="BR62" s="15"/>
      <c r="BS62" s="15"/>
      <c r="BT62" s="31"/>
    </row>
    <row r="63" spans="1:72" ht="17.25" customHeight="1" x14ac:dyDescent="0.3">
      <c r="A63" s="80"/>
      <c r="B63" s="42" t="s">
        <v>92</v>
      </c>
      <c r="C63" s="13" t="s">
        <v>91</v>
      </c>
      <c r="D63" s="13">
        <v>310</v>
      </c>
      <c r="E63" s="9">
        <v>1</v>
      </c>
      <c r="F63" s="9">
        <v>1</v>
      </c>
      <c r="G63" s="9">
        <v>1</v>
      </c>
      <c r="H63" s="9">
        <v>1</v>
      </c>
      <c r="I63" s="9">
        <v>1</v>
      </c>
      <c r="J63" s="15" t="s">
        <v>122</v>
      </c>
      <c r="K63" s="15"/>
      <c r="L63" s="15">
        <v>0.4</v>
      </c>
      <c r="M63" s="15"/>
      <c r="N63" s="15" t="s">
        <v>122</v>
      </c>
      <c r="O63" s="15">
        <v>0</v>
      </c>
      <c r="P63" s="15">
        <v>0</v>
      </c>
      <c r="Q63" s="9">
        <v>1</v>
      </c>
      <c r="R63" s="9" t="s">
        <v>125</v>
      </c>
      <c r="S63" s="15" t="s">
        <v>122</v>
      </c>
      <c r="T63" s="15">
        <v>0</v>
      </c>
      <c r="U63" s="15" t="s">
        <v>122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18">
        <v>0</v>
      </c>
      <c r="AG63" s="18">
        <v>0</v>
      </c>
      <c r="AH63" s="18">
        <v>0</v>
      </c>
      <c r="AI63" s="15" t="s">
        <v>122</v>
      </c>
      <c r="AJ63" s="15" t="s">
        <v>122</v>
      </c>
      <c r="AK63" s="15" t="s">
        <v>122</v>
      </c>
      <c r="AL63" s="9">
        <v>0</v>
      </c>
      <c r="AM63" s="9">
        <v>0</v>
      </c>
      <c r="AN63" s="35"/>
      <c r="AO63" s="15" t="s">
        <v>122</v>
      </c>
      <c r="AP63" s="15" t="s">
        <v>122</v>
      </c>
      <c r="AQ63" s="15"/>
      <c r="AR63" s="15">
        <v>1</v>
      </c>
      <c r="AS63" s="15"/>
      <c r="AT63" s="15"/>
      <c r="AU63" s="10">
        <v>1</v>
      </c>
      <c r="AV63" s="10">
        <v>1</v>
      </c>
      <c r="AW63" s="15"/>
      <c r="AX63" s="15"/>
      <c r="AY63" s="15"/>
      <c r="AZ63" s="16"/>
      <c r="BA63" s="16"/>
      <c r="BB63" s="15"/>
      <c r="BC63" s="15"/>
      <c r="BD63" s="15"/>
      <c r="BE63" s="15"/>
      <c r="BF63" s="15"/>
      <c r="BG63" s="15"/>
      <c r="BH63" s="15"/>
      <c r="BI63" s="10">
        <v>0</v>
      </c>
      <c r="BJ63" s="10">
        <v>0</v>
      </c>
      <c r="BK63" s="10">
        <v>0</v>
      </c>
      <c r="BL63" s="10">
        <v>0</v>
      </c>
      <c r="BM63" s="10">
        <v>0</v>
      </c>
      <c r="BN63" s="10">
        <v>0</v>
      </c>
      <c r="BO63" s="10">
        <v>0</v>
      </c>
      <c r="BP63" s="15"/>
      <c r="BQ63" s="15"/>
      <c r="BR63" s="15"/>
      <c r="BS63" s="15"/>
      <c r="BT63" s="31"/>
    </row>
    <row r="64" spans="1:72" ht="17.25" customHeight="1" x14ac:dyDescent="0.3">
      <c r="A64" s="80"/>
      <c r="B64" s="42" t="s">
        <v>92</v>
      </c>
      <c r="C64" s="13" t="s">
        <v>90</v>
      </c>
      <c r="D64" s="13">
        <v>311</v>
      </c>
      <c r="E64" s="9">
        <v>1</v>
      </c>
      <c r="F64" s="9">
        <v>1</v>
      </c>
      <c r="G64" s="9">
        <v>1</v>
      </c>
      <c r="H64" s="9">
        <v>1</v>
      </c>
      <c r="I64" s="9">
        <v>1</v>
      </c>
      <c r="J64" s="15" t="s">
        <v>122</v>
      </c>
      <c r="K64" s="15"/>
      <c r="L64" s="15">
        <v>1</v>
      </c>
      <c r="M64" s="15"/>
      <c r="N64" s="15" t="s">
        <v>122</v>
      </c>
      <c r="O64" s="15">
        <v>0</v>
      </c>
      <c r="P64" s="15">
        <v>0</v>
      </c>
      <c r="Q64" s="9">
        <v>1</v>
      </c>
      <c r="R64" s="9" t="s">
        <v>125</v>
      </c>
      <c r="S64" s="15" t="s">
        <v>122</v>
      </c>
      <c r="T64" s="15">
        <v>0</v>
      </c>
      <c r="U64" s="15" t="s">
        <v>122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9">
        <v>0</v>
      </c>
      <c r="AC64" s="9">
        <v>0</v>
      </c>
      <c r="AD64" s="9">
        <v>0</v>
      </c>
      <c r="AE64" s="9">
        <v>0</v>
      </c>
      <c r="AF64" s="18">
        <v>0</v>
      </c>
      <c r="AG64" s="18">
        <v>0</v>
      </c>
      <c r="AH64" s="18">
        <v>0</v>
      </c>
      <c r="AI64" s="15" t="s">
        <v>122</v>
      </c>
      <c r="AJ64" s="15" t="s">
        <v>122</v>
      </c>
      <c r="AK64" s="15" t="s">
        <v>122</v>
      </c>
      <c r="AL64" s="9">
        <v>0</v>
      </c>
      <c r="AM64" s="9">
        <v>0</v>
      </c>
      <c r="AN64" s="35"/>
      <c r="AO64" s="15" t="s">
        <v>122</v>
      </c>
      <c r="AP64" s="15" t="s">
        <v>122</v>
      </c>
      <c r="AQ64" s="15"/>
      <c r="AR64" s="15">
        <v>1</v>
      </c>
      <c r="AS64" s="15"/>
      <c r="AT64" s="15"/>
      <c r="AU64" s="10">
        <v>1</v>
      </c>
      <c r="AV64" s="10">
        <v>1</v>
      </c>
      <c r="AW64" s="15"/>
      <c r="AX64" s="15"/>
      <c r="AY64" s="15"/>
      <c r="AZ64" s="16"/>
      <c r="BA64" s="16"/>
      <c r="BB64" s="15"/>
      <c r="BC64" s="15"/>
      <c r="BD64" s="15"/>
      <c r="BE64" s="15"/>
      <c r="BF64" s="15"/>
      <c r="BG64" s="15"/>
      <c r="BH64" s="15"/>
      <c r="BI64" s="10">
        <v>0</v>
      </c>
      <c r="BJ64" s="10">
        <v>0</v>
      </c>
      <c r="BK64" s="10">
        <v>0</v>
      </c>
      <c r="BL64" s="10">
        <v>0</v>
      </c>
      <c r="BM64" s="10">
        <v>0</v>
      </c>
      <c r="BN64" s="10">
        <v>0</v>
      </c>
      <c r="BO64" s="10">
        <v>0</v>
      </c>
      <c r="BP64" s="15"/>
      <c r="BQ64" s="15"/>
      <c r="BR64" s="15"/>
      <c r="BS64" s="15"/>
      <c r="BT64" s="31"/>
    </row>
    <row r="65" spans="1:72" ht="17.25" customHeight="1" x14ac:dyDescent="0.3">
      <c r="A65" s="80"/>
      <c r="B65" s="42" t="s">
        <v>92</v>
      </c>
      <c r="C65" s="13" t="s">
        <v>91</v>
      </c>
      <c r="D65" s="13">
        <v>312</v>
      </c>
      <c r="E65" s="9">
        <v>1</v>
      </c>
      <c r="F65" s="9">
        <v>1</v>
      </c>
      <c r="G65" s="9">
        <v>1</v>
      </c>
      <c r="H65" s="9">
        <v>1</v>
      </c>
      <c r="I65" s="9">
        <v>1</v>
      </c>
      <c r="J65" s="15" t="s">
        <v>122</v>
      </c>
      <c r="K65" s="15"/>
      <c r="L65" s="15">
        <v>0.3</v>
      </c>
      <c r="M65" s="15"/>
      <c r="N65" s="15" t="s">
        <v>122</v>
      </c>
      <c r="O65" s="15">
        <v>0</v>
      </c>
      <c r="P65" s="15">
        <v>0</v>
      </c>
      <c r="Q65" s="9">
        <v>1</v>
      </c>
      <c r="R65" s="9" t="s">
        <v>125</v>
      </c>
      <c r="S65" s="15" t="s">
        <v>122</v>
      </c>
      <c r="T65" s="15">
        <v>0</v>
      </c>
      <c r="U65" s="15" t="s">
        <v>122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18">
        <v>0</v>
      </c>
      <c r="AG65" s="18">
        <v>0</v>
      </c>
      <c r="AH65" s="18">
        <v>0</v>
      </c>
      <c r="AI65" s="15" t="s">
        <v>122</v>
      </c>
      <c r="AJ65" s="15" t="s">
        <v>122</v>
      </c>
      <c r="AK65" s="15" t="s">
        <v>122</v>
      </c>
      <c r="AL65" s="9">
        <v>0</v>
      </c>
      <c r="AM65" s="9">
        <v>0</v>
      </c>
      <c r="AN65" s="35"/>
      <c r="AO65" s="15" t="s">
        <v>122</v>
      </c>
      <c r="AP65" s="15" t="s">
        <v>122</v>
      </c>
      <c r="AQ65" s="15"/>
      <c r="AR65" s="15">
        <v>1</v>
      </c>
      <c r="AS65" s="15"/>
      <c r="AT65" s="15"/>
      <c r="AU65" s="10">
        <v>1</v>
      </c>
      <c r="AV65" s="10">
        <v>1</v>
      </c>
      <c r="AW65" s="15"/>
      <c r="AX65" s="15"/>
      <c r="AY65" s="15"/>
      <c r="AZ65" s="16"/>
      <c r="BA65" s="16"/>
      <c r="BB65" s="15"/>
      <c r="BC65" s="15"/>
      <c r="BD65" s="15"/>
      <c r="BE65" s="15"/>
      <c r="BF65" s="15"/>
      <c r="BG65" s="15"/>
      <c r="BH65" s="15"/>
      <c r="BI65" s="10">
        <v>0</v>
      </c>
      <c r="BJ65" s="10">
        <v>0</v>
      </c>
      <c r="BK65" s="10">
        <v>0</v>
      </c>
      <c r="BL65" s="10">
        <v>0</v>
      </c>
      <c r="BM65" s="10">
        <v>0</v>
      </c>
      <c r="BN65" s="10">
        <v>0</v>
      </c>
      <c r="BO65" s="10">
        <v>0</v>
      </c>
      <c r="BP65" s="15"/>
      <c r="BQ65" s="15"/>
      <c r="BR65" s="15"/>
      <c r="BS65" s="15"/>
      <c r="BT65" s="31"/>
    </row>
    <row r="66" spans="1:72" ht="17.25" customHeight="1" x14ac:dyDescent="0.3">
      <c r="A66" s="80"/>
      <c r="B66" s="42" t="s">
        <v>92</v>
      </c>
      <c r="C66" s="13" t="s">
        <v>90</v>
      </c>
      <c r="D66" s="13">
        <v>313</v>
      </c>
      <c r="E66" s="9">
        <v>1</v>
      </c>
      <c r="F66" s="9">
        <v>1</v>
      </c>
      <c r="G66" s="9">
        <v>1</v>
      </c>
      <c r="H66" s="9">
        <v>1</v>
      </c>
      <c r="I66" s="9">
        <v>1</v>
      </c>
      <c r="J66" s="15" t="s">
        <v>122</v>
      </c>
      <c r="K66" s="15"/>
      <c r="L66" s="15">
        <v>0</v>
      </c>
      <c r="M66" s="15"/>
      <c r="N66" s="15" t="s">
        <v>122</v>
      </c>
      <c r="O66" s="15">
        <v>0</v>
      </c>
      <c r="P66" s="15">
        <v>0</v>
      </c>
      <c r="Q66" s="9">
        <v>1</v>
      </c>
      <c r="R66" s="9" t="s">
        <v>125</v>
      </c>
      <c r="S66" s="15" t="s">
        <v>122</v>
      </c>
      <c r="T66" s="15">
        <v>0</v>
      </c>
      <c r="U66" s="15" t="s">
        <v>122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0</v>
      </c>
      <c r="AC66" s="9">
        <v>0</v>
      </c>
      <c r="AD66" s="9">
        <v>0</v>
      </c>
      <c r="AE66" s="9">
        <v>0</v>
      </c>
      <c r="AF66" s="18">
        <v>0</v>
      </c>
      <c r="AG66" s="18">
        <v>0</v>
      </c>
      <c r="AH66" s="18">
        <v>0</v>
      </c>
      <c r="AI66" s="15" t="s">
        <v>122</v>
      </c>
      <c r="AJ66" s="15" t="s">
        <v>122</v>
      </c>
      <c r="AK66" s="15" t="s">
        <v>122</v>
      </c>
      <c r="AL66" s="9">
        <v>0</v>
      </c>
      <c r="AM66" s="9">
        <v>0</v>
      </c>
      <c r="AN66" s="35"/>
      <c r="AO66" s="15" t="s">
        <v>122</v>
      </c>
      <c r="AP66" s="15" t="s">
        <v>122</v>
      </c>
      <c r="AQ66" s="15"/>
      <c r="AR66" s="15">
        <v>1</v>
      </c>
      <c r="AS66" s="15"/>
      <c r="AT66" s="15"/>
      <c r="AU66" s="10">
        <v>1</v>
      </c>
      <c r="AV66" s="10">
        <v>1</v>
      </c>
      <c r="AW66" s="15"/>
      <c r="AX66" s="15"/>
      <c r="AY66" s="15"/>
      <c r="AZ66" s="16"/>
      <c r="BA66" s="16"/>
      <c r="BB66" s="15"/>
      <c r="BC66" s="15"/>
      <c r="BD66" s="15"/>
      <c r="BE66" s="15"/>
      <c r="BF66" s="15"/>
      <c r="BG66" s="15"/>
      <c r="BH66" s="15"/>
      <c r="BI66" s="10">
        <v>0</v>
      </c>
      <c r="BJ66" s="10">
        <v>0</v>
      </c>
      <c r="BK66" s="10">
        <v>0</v>
      </c>
      <c r="BL66" s="10">
        <v>0</v>
      </c>
      <c r="BM66" s="10">
        <v>0</v>
      </c>
      <c r="BN66" s="10">
        <v>0</v>
      </c>
      <c r="BO66" s="10">
        <v>0</v>
      </c>
      <c r="BP66" s="15"/>
      <c r="BQ66" s="15"/>
      <c r="BR66" s="15"/>
      <c r="BS66" s="15"/>
      <c r="BT66" s="31"/>
    </row>
    <row r="67" spans="1:72" ht="17.25" customHeight="1" x14ac:dyDescent="0.3">
      <c r="A67" s="80"/>
      <c r="B67" s="42" t="s">
        <v>92</v>
      </c>
      <c r="C67" s="13" t="s">
        <v>93</v>
      </c>
      <c r="D67" s="13">
        <v>314</v>
      </c>
      <c r="E67" s="9">
        <v>1</v>
      </c>
      <c r="F67" s="9">
        <v>1</v>
      </c>
      <c r="G67" s="9">
        <v>1</v>
      </c>
      <c r="H67" s="9">
        <v>1</v>
      </c>
      <c r="I67" s="9">
        <v>1</v>
      </c>
      <c r="J67" s="15" t="s">
        <v>122</v>
      </c>
      <c r="K67" s="15"/>
      <c r="L67" s="15">
        <v>1</v>
      </c>
      <c r="M67" s="15">
        <v>1</v>
      </c>
      <c r="N67" s="15" t="s">
        <v>122</v>
      </c>
      <c r="O67" s="15">
        <v>0</v>
      </c>
      <c r="P67" s="15">
        <v>1</v>
      </c>
      <c r="Q67" s="9">
        <v>1</v>
      </c>
      <c r="R67" s="9" t="s">
        <v>125</v>
      </c>
      <c r="S67" s="15" t="s">
        <v>122</v>
      </c>
      <c r="T67" s="15">
        <v>0</v>
      </c>
      <c r="U67" s="15" t="s">
        <v>122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18">
        <v>0</v>
      </c>
      <c r="AG67" s="18">
        <v>0</v>
      </c>
      <c r="AH67" s="18">
        <v>0</v>
      </c>
      <c r="AI67" s="15" t="s">
        <v>122</v>
      </c>
      <c r="AJ67" s="15" t="s">
        <v>122</v>
      </c>
      <c r="AK67" s="15" t="s">
        <v>122</v>
      </c>
      <c r="AL67" s="9">
        <v>0</v>
      </c>
      <c r="AM67" s="9">
        <v>0</v>
      </c>
      <c r="AN67" s="35"/>
      <c r="AO67" s="15" t="s">
        <v>122</v>
      </c>
      <c r="AP67" s="15" t="s">
        <v>122</v>
      </c>
      <c r="AQ67" s="15"/>
      <c r="AR67" s="15">
        <v>1</v>
      </c>
      <c r="AS67" s="15"/>
      <c r="AT67" s="15"/>
      <c r="AU67" s="10">
        <v>1</v>
      </c>
      <c r="AV67" s="10">
        <v>1</v>
      </c>
      <c r="AW67" s="15"/>
      <c r="AX67" s="15"/>
      <c r="AY67" s="15"/>
      <c r="AZ67" s="16"/>
      <c r="BA67" s="16"/>
      <c r="BB67" s="15"/>
      <c r="BC67" s="15"/>
      <c r="BD67" s="15"/>
      <c r="BE67" s="15"/>
      <c r="BF67" s="15"/>
      <c r="BG67" s="15"/>
      <c r="BH67" s="15"/>
      <c r="BI67" s="10">
        <v>0</v>
      </c>
      <c r="BJ67" s="10">
        <v>0</v>
      </c>
      <c r="BK67" s="10">
        <v>0</v>
      </c>
      <c r="BL67" s="10">
        <v>0</v>
      </c>
      <c r="BM67" s="10">
        <v>0</v>
      </c>
      <c r="BN67" s="10">
        <v>0</v>
      </c>
      <c r="BO67" s="10">
        <v>0</v>
      </c>
      <c r="BP67" s="15"/>
      <c r="BQ67" s="15"/>
      <c r="BR67" s="15"/>
      <c r="BS67" s="15"/>
      <c r="BT67" s="31"/>
    </row>
    <row r="68" spans="1:72" ht="17.25" customHeight="1" x14ac:dyDescent="0.3">
      <c r="A68" s="80"/>
      <c r="B68" s="42" t="s">
        <v>92</v>
      </c>
      <c r="C68" s="13" t="s">
        <v>90</v>
      </c>
      <c r="D68" s="13">
        <v>315</v>
      </c>
      <c r="E68" s="9">
        <v>1</v>
      </c>
      <c r="F68" s="9">
        <v>1</v>
      </c>
      <c r="G68" s="9">
        <v>1</v>
      </c>
      <c r="H68" s="9">
        <v>1</v>
      </c>
      <c r="I68" s="9">
        <v>1</v>
      </c>
      <c r="J68" s="15" t="s">
        <v>122</v>
      </c>
      <c r="K68" s="15"/>
      <c r="L68" s="15">
        <v>1</v>
      </c>
      <c r="M68" s="15">
        <v>1</v>
      </c>
      <c r="N68" s="15" t="s">
        <v>122</v>
      </c>
      <c r="O68" s="15">
        <v>0</v>
      </c>
      <c r="P68" s="15">
        <v>1</v>
      </c>
      <c r="Q68" s="9">
        <v>1</v>
      </c>
      <c r="R68" s="9" t="s">
        <v>125</v>
      </c>
      <c r="S68" s="15" t="s">
        <v>122</v>
      </c>
      <c r="T68" s="15">
        <v>0</v>
      </c>
      <c r="U68" s="15" t="s">
        <v>122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9">
        <v>0</v>
      </c>
      <c r="AE68" s="9">
        <v>0</v>
      </c>
      <c r="AF68" s="18">
        <v>0</v>
      </c>
      <c r="AG68" s="18">
        <v>0</v>
      </c>
      <c r="AH68" s="18">
        <v>0</v>
      </c>
      <c r="AI68" s="15" t="s">
        <v>122</v>
      </c>
      <c r="AJ68" s="15" t="s">
        <v>122</v>
      </c>
      <c r="AK68" s="15" t="s">
        <v>122</v>
      </c>
      <c r="AL68" s="9">
        <v>0</v>
      </c>
      <c r="AM68" s="9">
        <v>0</v>
      </c>
      <c r="AN68" s="35"/>
      <c r="AO68" s="15" t="s">
        <v>122</v>
      </c>
      <c r="AP68" s="15" t="s">
        <v>122</v>
      </c>
      <c r="AQ68" s="15"/>
      <c r="AR68" s="15">
        <v>1</v>
      </c>
      <c r="AS68" s="15"/>
      <c r="AT68" s="15"/>
      <c r="AU68" s="10">
        <v>1</v>
      </c>
      <c r="AV68" s="10">
        <v>1</v>
      </c>
      <c r="AW68" s="15"/>
      <c r="AX68" s="15"/>
      <c r="AY68" s="15"/>
      <c r="AZ68" s="16"/>
      <c r="BA68" s="16"/>
      <c r="BB68" s="15"/>
      <c r="BC68" s="15"/>
      <c r="BD68" s="15"/>
      <c r="BE68" s="15"/>
      <c r="BF68" s="15"/>
      <c r="BG68" s="15"/>
      <c r="BH68" s="15"/>
      <c r="BI68" s="10">
        <v>0</v>
      </c>
      <c r="BJ68" s="10">
        <v>0</v>
      </c>
      <c r="BK68" s="10">
        <v>0</v>
      </c>
      <c r="BL68" s="10">
        <v>0</v>
      </c>
      <c r="BM68" s="10">
        <v>0</v>
      </c>
      <c r="BN68" s="10">
        <v>0</v>
      </c>
      <c r="BO68" s="10">
        <v>0</v>
      </c>
      <c r="BP68" s="15"/>
      <c r="BQ68" s="15"/>
      <c r="BR68" s="15"/>
      <c r="BS68" s="15"/>
      <c r="BT68" s="31"/>
    </row>
    <row r="69" spans="1:72" ht="17.25" customHeight="1" x14ac:dyDescent="0.3">
      <c r="A69" s="80"/>
      <c r="B69" s="42" t="s">
        <v>92</v>
      </c>
      <c r="C69" s="13" t="s">
        <v>90</v>
      </c>
      <c r="D69" s="13">
        <v>316</v>
      </c>
      <c r="E69" s="9">
        <v>1</v>
      </c>
      <c r="F69" s="9">
        <v>1</v>
      </c>
      <c r="G69" s="9">
        <v>1</v>
      </c>
      <c r="H69" s="9">
        <v>1</v>
      </c>
      <c r="I69" s="9">
        <v>1</v>
      </c>
      <c r="J69" s="15" t="s">
        <v>122</v>
      </c>
      <c r="K69" s="15"/>
      <c r="L69" s="15">
        <v>1</v>
      </c>
      <c r="M69" s="15">
        <v>1</v>
      </c>
      <c r="N69" s="15" t="s">
        <v>122</v>
      </c>
      <c r="O69" s="15">
        <v>0</v>
      </c>
      <c r="P69" s="15">
        <v>1</v>
      </c>
      <c r="Q69" s="9">
        <v>1</v>
      </c>
      <c r="R69" s="9" t="s">
        <v>125</v>
      </c>
      <c r="S69" s="15" t="s">
        <v>122</v>
      </c>
      <c r="T69" s="15">
        <v>0</v>
      </c>
      <c r="U69" s="15" t="s">
        <v>122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18">
        <v>0</v>
      </c>
      <c r="AG69" s="18">
        <v>0</v>
      </c>
      <c r="AH69" s="18">
        <v>0</v>
      </c>
      <c r="AI69" s="15" t="s">
        <v>122</v>
      </c>
      <c r="AJ69" s="15" t="s">
        <v>122</v>
      </c>
      <c r="AK69" s="15" t="s">
        <v>122</v>
      </c>
      <c r="AL69" s="9">
        <v>0</v>
      </c>
      <c r="AM69" s="9">
        <v>0</v>
      </c>
      <c r="AN69" s="35"/>
      <c r="AO69" s="15" t="s">
        <v>122</v>
      </c>
      <c r="AP69" s="15" t="s">
        <v>122</v>
      </c>
      <c r="AQ69" s="15"/>
      <c r="AR69" s="15">
        <v>1</v>
      </c>
      <c r="AS69" s="15"/>
      <c r="AT69" s="15"/>
      <c r="AU69" s="10">
        <v>1</v>
      </c>
      <c r="AV69" s="10">
        <v>1</v>
      </c>
      <c r="AW69" s="15"/>
      <c r="AX69" s="15"/>
      <c r="AY69" s="15"/>
      <c r="AZ69" s="16"/>
      <c r="BA69" s="16"/>
      <c r="BB69" s="15"/>
      <c r="BC69" s="15"/>
      <c r="BD69" s="15"/>
      <c r="BE69" s="15"/>
      <c r="BF69" s="15"/>
      <c r="BG69" s="15"/>
      <c r="BH69" s="15"/>
      <c r="BI69" s="10">
        <v>0</v>
      </c>
      <c r="BJ69" s="10">
        <v>0</v>
      </c>
      <c r="BK69" s="10">
        <v>0</v>
      </c>
      <c r="BL69" s="10">
        <v>0</v>
      </c>
      <c r="BM69" s="10">
        <v>0</v>
      </c>
      <c r="BN69" s="10">
        <v>0</v>
      </c>
      <c r="BO69" s="10">
        <v>0</v>
      </c>
      <c r="BP69" s="15"/>
      <c r="BQ69" s="15"/>
      <c r="BR69" s="15"/>
      <c r="BS69" s="15"/>
      <c r="BT69" s="31"/>
    </row>
    <row r="70" spans="1:72" ht="17.25" customHeight="1" x14ac:dyDescent="0.3">
      <c r="A70" s="80"/>
      <c r="B70" s="42" t="s">
        <v>92</v>
      </c>
      <c r="C70" s="13" t="s">
        <v>91</v>
      </c>
      <c r="D70" s="13">
        <v>317</v>
      </c>
      <c r="E70" s="9">
        <v>1</v>
      </c>
      <c r="F70" s="9">
        <v>1</v>
      </c>
      <c r="G70" s="9">
        <v>1</v>
      </c>
      <c r="H70" s="9">
        <v>1</v>
      </c>
      <c r="I70" s="9">
        <v>1</v>
      </c>
      <c r="J70" s="15" t="s">
        <v>122</v>
      </c>
      <c r="K70" s="15"/>
      <c r="L70" s="15">
        <v>1</v>
      </c>
      <c r="M70" s="15"/>
      <c r="N70" s="15" t="s">
        <v>122</v>
      </c>
      <c r="O70" s="15">
        <v>0</v>
      </c>
      <c r="P70" s="15">
        <v>0</v>
      </c>
      <c r="Q70" s="9">
        <v>1</v>
      </c>
      <c r="R70" s="9" t="s">
        <v>125</v>
      </c>
      <c r="S70" s="15" t="s">
        <v>122</v>
      </c>
      <c r="T70" s="15">
        <v>0</v>
      </c>
      <c r="U70" s="15" t="s">
        <v>122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  <c r="AD70" s="9">
        <v>0</v>
      </c>
      <c r="AE70" s="9">
        <v>0</v>
      </c>
      <c r="AF70" s="18">
        <v>0</v>
      </c>
      <c r="AG70" s="18">
        <v>0</v>
      </c>
      <c r="AH70" s="18">
        <v>0</v>
      </c>
      <c r="AI70" s="15" t="s">
        <v>122</v>
      </c>
      <c r="AJ70" s="15" t="s">
        <v>122</v>
      </c>
      <c r="AK70" s="15" t="s">
        <v>122</v>
      </c>
      <c r="AL70" s="9">
        <v>0</v>
      </c>
      <c r="AM70" s="9">
        <v>0</v>
      </c>
      <c r="AN70" s="35"/>
      <c r="AO70" s="15" t="s">
        <v>122</v>
      </c>
      <c r="AP70" s="15" t="s">
        <v>122</v>
      </c>
      <c r="AQ70" s="15"/>
      <c r="AR70" s="15">
        <v>1</v>
      </c>
      <c r="AS70" s="15"/>
      <c r="AT70" s="15"/>
      <c r="AU70" s="10">
        <v>1</v>
      </c>
      <c r="AV70" s="10">
        <v>1</v>
      </c>
      <c r="AW70" s="15"/>
      <c r="AX70" s="15"/>
      <c r="AY70" s="15"/>
      <c r="AZ70" s="16"/>
      <c r="BA70" s="16"/>
      <c r="BB70" s="15"/>
      <c r="BC70" s="15"/>
      <c r="BD70" s="15"/>
      <c r="BE70" s="15"/>
      <c r="BF70" s="15"/>
      <c r="BG70" s="15"/>
      <c r="BH70" s="15"/>
      <c r="BI70" s="10">
        <v>0</v>
      </c>
      <c r="BJ70" s="10">
        <v>0</v>
      </c>
      <c r="BK70" s="10">
        <v>0</v>
      </c>
      <c r="BL70" s="10">
        <v>0</v>
      </c>
      <c r="BM70" s="10">
        <v>0</v>
      </c>
      <c r="BN70" s="10">
        <v>0</v>
      </c>
      <c r="BO70" s="10">
        <v>0</v>
      </c>
      <c r="BP70" s="15"/>
      <c r="BQ70" s="15"/>
      <c r="BR70" s="15"/>
      <c r="BS70" s="15"/>
      <c r="BT70" s="31"/>
    </row>
    <row r="71" spans="1:72" ht="17.25" customHeight="1" x14ac:dyDescent="0.3">
      <c r="A71" s="80"/>
      <c r="B71" s="42" t="s">
        <v>92</v>
      </c>
      <c r="C71" s="13" t="s">
        <v>90</v>
      </c>
      <c r="D71" s="13">
        <v>321</v>
      </c>
      <c r="E71" s="9">
        <v>1</v>
      </c>
      <c r="F71" s="9">
        <v>1</v>
      </c>
      <c r="G71" s="9">
        <v>1</v>
      </c>
      <c r="H71" s="9">
        <v>1</v>
      </c>
      <c r="I71" s="9">
        <v>1</v>
      </c>
      <c r="J71" s="15" t="s">
        <v>122</v>
      </c>
      <c r="K71" s="15"/>
      <c r="L71" s="15">
        <v>1</v>
      </c>
      <c r="M71" s="15">
        <v>1</v>
      </c>
      <c r="N71" s="15" t="s">
        <v>122</v>
      </c>
      <c r="O71" s="15">
        <v>1</v>
      </c>
      <c r="P71" s="15">
        <v>1</v>
      </c>
      <c r="Q71" s="9">
        <v>1</v>
      </c>
      <c r="R71" s="9" t="s">
        <v>125</v>
      </c>
      <c r="S71" s="15" t="s">
        <v>122</v>
      </c>
      <c r="T71" s="15">
        <v>0</v>
      </c>
      <c r="U71" s="15" t="s">
        <v>122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18">
        <v>0</v>
      </c>
      <c r="AG71" s="18">
        <v>0</v>
      </c>
      <c r="AH71" s="18">
        <v>0</v>
      </c>
      <c r="AI71" s="15" t="s">
        <v>122</v>
      </c>
      <c r="AJ71" s="15" t="s">
        <v>122</v>
      </c>
      <c r="AK71" s="15" t="s">
        <v>122</v>
      </c>
      <c r="AL71" s="9">
        <v>0</v>
      </c>
      <c r="AM71" s="9">
        <v>0</v>
      </c>
      <c r="AN71" s="35"/>
      <c r="AO71" s="15" t="s">
        <v>122</v>
      </c>
      <c r="AP71" s="15" t="s">
        <v>122</v>
      </c>
      <c r="AQ71" s="15"/>
      <c r="AR71" s="15">
        <v>1</v>
      </c>
      <c r="AS71" s="15"/>
      <c r="AT71" s="15"/>
      <c r="AU71" s="10">
        <v>1</v>
      </c>
      <c r="AV71" s="10">
        <v>1</v>
      </c>
      <c r="AW71" s="15"/>
      <c r="AX71" s="15"/>
      <c r="AY71" s="15"/>
      <c r="AZ71" s="16"/>
      <c r="BA71" s="16"/>
      <c r="BB71" s="15"/>
      <c r="BC71" s="15"/>
      <c r="BD71" s="15"/>
      <c r="BE71" s="15"/>
      <c r="BF71" s="15"/>
      <c r="BG71" s="15"/>
      <c r="BH71" s="15"/>
      <c r="BI71" s="10">
        <v>0</v>
      </c>
      <c r="BJ71" s="10">
        <v>0</v>
      </c>
      <c r="BK71" s="10">
        <v>0</v>
      </c>
      <c r="BL71" s="10">
        <v>0</v>
      </c>
      <c r="BM71" s="10">
        <v>0</v>
      </c>
      <c r="BN71" s="10">
        <v>0</v>
      </c>
      <c r="BO71" s="10">
        <v>0</v>
      </c>
      <c r="BP71" s="15"/>
      <c r="BQ71" s="15"/>
      <c r="BR71" s="15"/>
      <c r="BS71" s="15"/>
      <c r="BT71" s="31"/>
    </row>
    <row r="72" spans="1:72" ht="17.25" customHeight="1" x14ac:dyDescent="0.3">
      <c r="A72" s="80"/>
      <c r="B72" s="42" t="s">
        <v>92</v>
      </c>
      <c r="C72" s="13" t="s">
        <v>90</v>
      </c>
      <c r="D72" s="13">
        <v>322</v>
      </c>
      <c r="E72" s="9">
        <v>1</v>
      </c>
      <c r="F72" s="9">
        <v>1</v>
      </c>
      <c r="G72" s="9">
        <v>1</v>
      </c>
      <c r="H72" s="9">
        <v>1</v>
      </c>
      <c r="I72" s="9">
        <v>1</v>
      </c>
      <c r="J72" s="15" t="s">
        <v>122</v>
      </c>
      <c r="K72" s="15"/>
      <c r="L72" s="15">
        <v>1</v>
      </c>
      <c r="M72" s="15">
        <v>1</v>
      </c>
      <c r="N72" s="15" t="s">
        <v>122</v>
      </c>
      <c r="O72" s="15">
        <v>0</v>
      </c>
      <c r="P72" s="15">
        <v>1</v>
      </c>
      <c r="Q72" s="9">
        <v>1</v>
      </c>
      <c r="R72" s="9" t="s">
        <v>125</v>
      </c>
      <c r="S72" s="15" t="s">
        <v>122</v>
      </c>
      <c r="T72" s="15">
        <v>0</v>
      </c>
      <c r="U72" s="15" t="s">
        <v>122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9">
        <v>0</v>
      </c>
      <c r="AC72" s="9">
        <v>0</v>
      </c>
      <c r="AD72" s="9">
        <v>0</v>
      </c>
      <c r="AE72" s="9">
        <v>0</v>
      </c>
      <c r="AF72" s="18">
        <v>0</v>
      </c>
      <c r="AG72" s="18">
        <v>0</v>
      </c>
      <c r="AH72" s="18">
        <v>0</v>
      </c>
      <c r="AI72" s="15" t="s">
        <v>122</v>
      </c>
      <c r="AJ72" s="15" t="s">
        <v>122</v>
      </c>
      <c r="AK72" s="15" t="s">
        <v>122</v>
      </c>
      <c r="AL72" s="9">
        <v>0</v>
      </c>
      <c r="AM72" s="9">
        <v>0</v>
      </c>
      <c r="AN72" s="35"/>
      <c r="AO72" s="15" t="s">
        <v>122</v>
      </c>
      <c r="AP72" s="15" t="s">
        <v>122</v>
      </c>
      <c r="AQ72" s="15"/>
      <c r="AR72" s="15">
        <v>1</v>
      </c>
      <c r="AS72" s="15"/>
      <c r="AT72" s="15"/>
      <c r="AU72" s="10">
        <v>1</v>
      </c>
      <c r="AV72" s="10">
        <v>1</v>
      </c>
      <c r="AW72" s="15"/>
      <c r="AX72" s="15"/>
      <c r="AY72" s="15"/>
      <c r="AZ72" s="16"/>
      <c r="BA72" s="16"/>
      <c r="BB72" s="15"/>
      <c r="BC72" s="15"/>
      <c r="BD72" s="15"/>
      <c r="BE72" s="15"/>
      <c r="BF72" s="15"/>
      <c r="BG72" s="15"/>
      <c r="BH72" s="15"/>
      <c r="BI72" s="10">
        <v>0</v>
      </c>
      <c r="BJ72" s="10">
        <v>0</v>
      </c>
      <c r="BK72" s="10">
        <v>0</v>
      </c>
      <c r="BL72" s="10">
        <v>0</v>
      </c>
      <c r="BM72" s="10">
        <v>0</v>
      </c>
      <c r="BN72" s="10">
        <v>0</v>
      </c>
      <c r="BO72" s="10">
        <v>0</v>
      </c>
      <c r="BP72" s="15"/>
      <c r="BQ72" s="15"/>
      <c r="BR72" s="15"/>
      <c r="BS72" s="15"/>
      <c r="BT72" s="31"/>
    </row>
    <row r="73" spans="1:72" ht="17.25" customHeight="1" x14ac:dyDescent="0.3">
      <c r="A73" s="80"/>
      <c r="B73" s="43" t="s">
        <v>94</v>
      </c>
      <c r="C73" s="17" t="s">
        <v>90</v>
      </c>
      <c r="D73" s="17">
        <v>323</v>
      </c>
      <c r="E73" s="9">
        <v>1</v>
      </c>
      <c r="F73" s="9">
        <v>1</v>
      </c>
      <c r="G73" s="9">
        <v>1</v>
      </c>
      <c r="H73" s="9">
        <v>1</v>
      </c>
      <c r="I73" s="9">
        <v>1</v>
      </c>
      <c r="J73" s="19" t="s">
        <v>122</v>
      </c>
      <c r="K73" s="19"/>
      <c r="L73" s="19">
        <v>1</v>
      </c>
      <c r="M73" s="19">
        <v>1</v>
      </c>
      <c r="N73" s="19" t="s">
        <v>122</v>
      </c>
      <c r="O73" s="19">
        <v>1</v>
      </c>
      <c r="P73" s="19">
        <v>1</v>
      </c>
      <c r="Q73" s="9">
        <v>1</v>
      </c>
      <c r="R73" s="19"/>
      <c r="S73" s="19" t="s">
        <v>122</v>
      </c>
      <c r="T73" s="19">
        <v>0</v>
      </c>
      <c r="U73" s="19" t="s">
        <v>122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18">
        <v>0</v>
      </c>
      <c r="AG73" s="18">
        <v>0</v>
      </c>
      <c r="AH73" s="18">
        <v>0</v>
      </c>
      <c r="AI73" s="19" t="s">
        <v>122</v>
      </c>
      <c r="AJ73" s="19" t="s">
        <v>122</v>
      </c>
      <c r="AK73" s="19" t="s">
        <v>122</v>
      </c>
      <c r="AL73" s="9">
        <v>0</v>
      </c>
      <c r="AM73" s="9">
        <v>0</v>
      </c>
      <c r="AN73" s="36"/>
      <c r="AO73" s="19" t="s">
        <v>122</v>
      </c>
      <c r="AP73" s="19" t="s">
        <v>122</v>
      </c>
      <c r="AQ73" s="19"/>
      <c r="AR73" s="19">
        <v>1</v>
      </c>
      <c r="AS73" s="19"/>
      <c r="AT73" s="19"/>
      <c r="AU73" s="10">
        <v>1</v>
      </c>
      <c r="AV73" s="10">
        <v>1</v>
      </c>
      <c r="AW73" s="19"/>
      <c r="AX73" s="19"/>
      <c r="AY73" s="19"/>
      <c r="AZ73" s="20"/>
      <c r="BA73" s="20"/>
      <c r="BB73" s="19"/>
      <c r="BC73" s="19"/>
      <c r="BD73" s="19"/>
      <c r="BE73" s="19"/>
      <c r="BF73" s="19"/>
      <c r="BG73" s="19"/>
      <c r="BH73" s="19"/>
      <c r="BI73" s="10">
        <v>0</v>
      </c>
      <c r="BJ73" s="10">
        <v>0</v>
      </c>
      <c r="BK73" s="10">
        <v>0</v>
      </c>
      <c r="BL73" s="10">
        <v>0</v>
      </c>
      <c r="BM73" s="10">
        <v>0</v>
      </c>
      <c r="BN73" s="10">
        <v>0</v>
      </c>
      <c r="BO73" s="10">
        <v>0</v>
      </c>
      <c r="BP73" s="19"/>
      <c r="BQ73" s="19"/>
      <c r="BR73" s="19"/>
      <c r="BS73" s="19"/>
      <c r="BT73" s="33"/>
    </row>
    <row r="74" spans="1:72" ht="17.25" customHeight="1" x14ac:dyDescent="0.3">
      <c r="A74" s="80"/>
      <c r="B74" s="43" t="s">
        <v>94</v>
      </c>
      <c r="C74" s="17" t="s">
        <v>90</v>
      </c>
      <c r="D74" s="17">
        <v>324</v>
      </c>
      <c r="E74" s="9">
        <v>1</v>
      </c>
      <c r="F74" s="9">
        <v>1</v>
      </c>
      <c r="G74" s="9">
        <v>1</v>
      </c>
      <c r="H74" s="9">
        <v>1</v>
      </c>
      <c r="I74" s="9">
        <v>1</v>
      </c>
      <c r="J74" s="19" t="s">
        <v>122</v>
      </c>
      <c r="K74" s="19"/>
      <c r="L74" s="19">
        <v>1</v>
      </c>
      <c r="M74" s="19">
        <v>1</v>
      </c>
      <c r="N74" s="19" t="s">
        <v>122</v>
      </c>
      <c r="O74" s="19">
        <v>1</v>
      </c>
      <c r="P74" s="19">
        <v>1</v>
      </c>
      <c r="Q74" s="9">
        <v>1</v>
      </c>
      <c r="R74" s="19"/>
      <c r="S74" s="19" t="s">
        <v>122</v>
      </c>
      <c r="T74" s="19">
        <v>0</v>
      </c>
      <c r="U74" s="19" t="s">
        <v>122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9">
        <v>0</v>
      </c>
      <c r="AC74" s="9">
        <v>0</v>
      </c>
      <c r="AD74" s="9">
        <v>0</v>
      </c>
      <c r="AE74" s="9">
        <v>0</v>
      </c>
      <c r="AF74" s="18">
        <v>0</v>
      </c>
      <c r="AG74" s="18">
        <v>0</v>
      </c>
      <c r="AH74" s="18">
        <v>0</v>
      </c>
      <c r="AI74" s="19" t="s">
        <v>122</v>
      </c>
      <c r="AJ74" s="19" t="s">
        <v>122</v>
      </c>
      <c r="AK74" s="19" t="s">
        <v>122</v>
      </c>
      <c r="AL74" s="9">
        <v>0</v>
      </c>
      <c r="AM74" s="9">
        <v>0</v>
      </c>
      <c r="AN74" s="36"/>
      <c r="AO74" s="19" t="s">
        <v>122</v>
      </c>
      <c r="AP74" s="19" t="s">
        <v>122</v>
      </c>
      <c r="AQ74" s="19"/>
      <c r="AR74" s="19">
        <v>1</v>
      </c>
      <c r="AS74" s="19"/>
      <c r="AT74" s="19"/>
      <c r="AU74" s="10">
        <v>1</v>
      </c>
      <c r="AV74" s="10">
        <v>1</v>
      </c>
      <c r="AW74" s="19"/>
      <c r="AX74" s="19"/>
      <c r="AY74" s="19"/>
      <c r="AZ74" s="20"/>
      <c r="BA74" s="20"/>
      <c r="BB74" s="19"/>
      <c r="BC74" s="19"/>
      <c r="BD74" s="19"/>
      <c r="BE74" s="19"/>
      <c r="BF74" s="19"/>
      <c r="BG74" s="19"/>
      <c r="BH74" s="19"/>
      <c r="BI74" s="10">
        <v>0</v>
      </c>
      <c r="BJ74" s="10">
        <v>0</v>
      </c>
      <c r="BK74" s="10">
        <v>0</v>
      </c>
      <c r="BL74" s="10">
        <v>0</v>
      </c>
      <c r="BM74" s="10">
        <v>0</v>
      </c>
      <c r="BN74" s="10">
        <v>0</v>
      </c>
      <c r="BO74" s="10">
        <v>0</v>
      </c>
      <c r="BP74" s="19"/>
      <c r="BQ74" s="19"/>
      <c r="BR74" s="19"/>
      <c r="BS74" s="19"/>
      <c r="BT74" s="33"/>
    </row>
    <row r="75" spans="1:72" ht="17.25" customHeight="1" x14ac:dyDescent="0.3">
      <c r="A75" s="80"/>
      <c r="B75" s="43" t="s">
        <v>94</v>
      </c>
      <c r="C75" s="17" t="s">
        <v>90</v>
      </c>
      <c r="D75" s="17">
        <v>325</v>
      </c>
      <c r="E75" s="9">
        <v>1</v>
      </c>
      <c r="F75" s="9">
        <v>1</v>
      </c>
      <c r="G75" s="9">
        <v>1</v>
      </c>
      <c r="H75" s="9">
        <v>1</v>
      </c>
      <c r="I75" s="9">
        <v>1</v>
      </c>
      <c r="J75" s="19" t="s">
        <v>122</v>
      </c>
      <c r="K75" s="19"/>
      <c r="L75" s="19">
        <v>1</v>
      </c>
      <c r="M75" s="19">
        <v>1</v>
      </c>
      <c r="N75" s="19" t="s">
        <v>122</v>
      </c>
      <c r="O75" s="19">
        <v>1</v>
      </c>
      <c r="P75" s="19">
        <v>1</v>
      </c>
      <c r="Q75" s="9">
        <v>1</v>
      </c>
      <c r="R75" s="19"/>
      <c r="S75" s="19" t="s">
        <v>122</v>
      </c>
      <c r="T75" s="19">
        <v>0</v>
      </c>
      <c r="U75" s="19" t="s">
        <v>122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18">
        <v>0</v>
      </c>
      <c r="AG75" s="18">
        <v>0</v>
      </c>
      <c r="AH75" s="18">
        <v>0</v>
      </c>
      <c r="AI75" s="19" t="s">
        <v>122</v>
      </c>
      <c r="AJ75" s="19" t="s">
        <v>122</v>
      </c>
      <c r="AK75" s="19" t="s">
        <v>122</v>
      </c>
      <c r="AL75" s="9">
        <v>0</v>
      </c>
      <c r="AM75" s="9">
        <v>0</v>
      </c>
      <c r="AN75" s="36"/>
      <c r="AO75" s="19" t="s">
        <v>122</v>
      </c>
      <c r="AP75" s="19" t="s">
        <v>122</v>
      </c>
      <c r="AQ75" s="19"/>
      <c r="AR75" s="19">
        <v>1</v>
      </c>
      <c r="AS75" s="19"/>
      <c r="AT75" s="19"/>
      <c r="AU75" s="10">
        <v>1</v>
      </c>
      <c r="AV75" s="10">
        <v>1</v>
      </c>
      <c r="AW75" s="19"/>
      <c r="AX75" s="19"/>
      <c r="AY75" s="19"/>
      <c r="AZ75" s="20"/>
      <c r="BA75" s="20"/>
      <c r="BB75" s="19"/>
      <c r="BC75" s="19"/>
      <c r="BD75" s="19"/>
      <c r="BE75" s="19"/>
      <c r="BF75" s="19"/>
      <c r="BG75" s="19"/>
      <c r="BH75" s="19"/>
      <c r="BI75" s="10">
        <v>0</v>
      </c>
      <c r="BJ75" s="10">
        <v>0</v>
      </c>
      <c r="BK75" s="10">
        <v>0</v>
      </c>
      <c r="BL75" s="10">
        <v>0</v>
      </c>
      <c r="BM75" s="10">
        <v>0</v>
      </c>
      <c r="BN75" s="10">
        <v>0</v>
      </c>
      <c r="BO75" s="10">
        <v>0</v>
      </c>
      <c r="BP75" s="19"/>
      <c r="BQ75" s="19"/>
      <c r="BR75" s="19"/>
      <c r="BS75" s="19"/>
      <c r="BT75" s="33"/>
    </row>
    <row r="76" spans="1:72" ht="17.25" customHeight="1" x14ac:dyDescent="0.3">
      <c r="A76" s="80"/>
      <c r="B76" s="43" t="s">
        <v>94</v>
      </c>
      <c r="C76" s="17" t="s">
        <v>90</v>
      </c>
      <c r="D76" s="17">
        <v>326</v>
      </c>
      <c r="E76" s="9">
        <v>1</v>
      </c>
      <c r="F76" s="9">
        <v>1</v>
      </c>
      <c r="G76" s="9">
        <v>1</v>
      </c>
      <c r="H76" s="9">
        <v>1</v>
      </c>
      <c r="I76" s="9">
        <v>1</v>
      </c>
      <c r="J76" s="19" t="s">
        <v>122</v>
      </c>
      <c r="K76" s="19"/>
      <c r="L76" s="19">
        <v>1</v>
      </c>
      <c r="M76" s="19">
        <v>1</v>
      </c>
      <c r="N76" s="19" t="s">
        <v>122</v>
      </c>
      <c r="O76" s="19">
        <v>1</v>
      </c>
      <c r="P76" s="19">
        <v>1</v>
      </c>
      <c r="Q76" s="9">
        <v>1</v>
      </c>
      <c r="R76" s="19"/>
      <c r="S76" s="19" t="s">
        <v>122</v>
      </c>
      <c r="T76" s="19">
        <v>0</v>
      </c>
      <c r="U76" s="19" t="s">
        <v>122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9">
        <v>0</v>
      </c>
      <c r="AC76" s="9">
        <v>0</v>
      </c>
      <c r="AD76" s="9">
        <v>0</v>
      </c>
      <c r="AE76" s="9">
        <v>0</v>
      </c>
      <c r="AF76" s="18">
        <v>0</v>
      </c>
      <c r="AG76" s="18">
        <v>0</v>
      </c>
      <c r="AH76" s="18">
        <v>0</v>
      </c>
      <c r="AI76" s="19" t="s">
        <v>122</v>
      </c>
      <c r="AJ76" s="19" t="s">
        <v>122</v>
      </c>
      <c r="AK76" s="19" t="s">
        <v>122</v>
      </c>
      <c r="AL76" s="9">
        <v>0</v>
      </c>
      <c r="AM76" s="9">
        <v>0</v>
      </c>
      <c r="AN76" s="36"/>
      <c r="AO76" s="19" t="s">
        <v>122</v>
      </c>
      <c r="AP76" s="19" t="s">
        <v>122</v>
      </c>
      <c r="AQ76" s="19"/>
      <c r="AR76" s="19">
        <v>1</v>
      </c>
      <c r="AS76" s="19"/>
      <c r="AT76" s="19"/>
      <c r="AU76" s="10">
        <v>1</v>
      </c>
      <c r="AV76" s="10">
        <v>1</v>
      </c>
      <c r="AW76" s="19"/>
      <c r="AX76" s="19"/>
      <c r="AY76" s="19"/>
      <c r="AZ76" s="20"/>
      <c r="BA76" s="20"/>
      <c r="BB76" s="19"/>
      <c r="BC76" s="19"/>
      <c r="BD76" s="19"/>
      <c r="BE76" s="19"/>
      <c r="BF76" s="19"/>
      <c r="BG76" s="19"/>
      <c r="BH76" s="19"/>
      <c r="BI76" s="10">
        <v>0</v>
      </c>
      <c r="BJ76" s="10">
        <v>0</v>
      </c>
      <c r="BK76" s="10">
        <v>0</v>
      </c>
      <c r="BL76" s="10">
        <v>0</v>
      </c>
      <c r="BM76" s="10">
        <v>0</v>
      </c>
      <c r="BN76" s="10">
        <v>0</v>
      </c>
      <c r="BO76" s="10">
        <v>0</v>
      </c>
      <c r="BP76" s="19"/>
      <c r="BQ76" s="19"/>
      <c r="BR76" s="19"/>
      <c r="BS76" s="19"/>
      <c r="BT76" s="33"/>
    </row>
    <row r="77" spans="1:72" ht="17.25" customHeight="1" x14ac:dyDescent="0.3">
      <c r="A77" s="80"/>
      <c r="B77" s="43" t="s">
        <v>94</v>
      </c>
      <c r="C77" s="17" t="s">
        <v>91</v>
      </c>
      <c r="D77" s="17">
        <v>327</v>
      </c>
      <c r="E77" s="9">
        <v>1</v>
      </c>
      <c r="F77" s="9">
        <v>1</v>
      </c>
      <c r="G77" s="9">
        <v>1</v>
      </c>
      <c r="H77" s="9">
        <v>1</v>
      </c>
      <c r="I77" s="9">
        <v>1</v>
      </c>
      <c r="J77" s="19" t="s">
        <v>122</v>
      </c>
      <c r="K77" s="19"/>
      <c r="L77" s="19">
        <v>1</v>
      </c>
      <c r="M77" s="19"/>
      <c r="N77" s="19" t="s">
        <v>122</v>
      </c>
      <c r="O77" s="19">
        <v>0</v>
      </c>
      <c r="P77" s="19">
        <v>0</v>
      </c>
      <c r="Q77" s="9">
        <v>1</v>
      </c>
      <c r="R77" s="19"/>
      <c r="S77" s="19" t="s">
        <v>122</v>
      </c>
      <c r="T77" s="19">
        <v>0</v>
      </c>
      <c r="U77" s="19" t="s">
        <v>122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18">
        <v>0</v>
      </c>
      <c r="AG77" s="18">
        <v>0</v>
      </c>
      <c r="AH77" s="18">
        <v>0</v>
      </c>
      <c r="AI77" s="19" t="s">
        <v>122</v>
      </c>
      <c r="AJ77" s="19" t="s">
        <v>122</v>
      </c>
      <c r="AK77" s="19" t="s">
        <v>122</v>
      </c>
      <c r="AL77" s="9">
        <v>0</v>
      </c>
      <c r="AM77" s="9">
        <v>0</v>
      </c>
      <c r="AN77" s="36"/>
      <c r="AO77" s="19" t="s">
        <v>122</v>
      </c>
      <c r="AP77" s="19" t="s">
        <v>122</v>
      </c>
      <c r="AQ77" s="19"/>
      <c r="AR77" s="19">
        <v>1</v>
      </c>
      <c r="AS77" s="19"/>
      <c r="AT77" s="19"/>
      <c r="AU77" s="10">
        <v>1</v>
      </c>
      <c r="AV77" s="10">
        <v>1</v>
      </c>
      <c r="AW77" s="19"/>
      <c r="AX77" s="19"/>
      <c r="AY77" s="19"/>
      <c r="AZ77" s="20"/>
      <c r="BA77" s="20"/>
      <c r="BB77" s="19"/>
      <c r="BC77" s="19"/>
      <c r="BD77" s="19"/>
      <c r="BE77" s="19"/>
      <c r="BF77" s="19"/>
      <c r="BG77" s="19"/>
      <c r="BH77" s="19"/>
      <c r="BI77" s="10">
        <v>0</v>
      </c>
      <c r="BJ77" s="10">
        <v>0</v>
      </c>
      <c r="BK77" s="10">
        <v>0</v>
      </c>
      <c r="BL77" s="10">
        <v>0</v>
      </c>
      <c r="BM77" s="10">
        <v>0</v>
      </c>
      <c r="BN77" s="10">
        <v>0</v>
      </c>
      <c r="BO77" s="10">
        <v>0</v>
      </c>
      <c r="BP77" s="19"/>
      <c r="BQ77" s="19"/>
      <c r="BR77" s="19"/>
      <c r="BS77" s="19"/>
      <c r="BT77" s="33"/>
    </row>
    <row r="78" spans="1:72" ht="17.25" customHeight="1" x14ac:dyDescent="0.3">
      <c r="A78" s="80"/>
      <c r="B78" s="43" t="s">
        <v>94</v>
      </c>
      <c r="C78" s="17" t="s">
        <v>90</v>
      </c>
      <c r="D78" s="17">
        <v>328</v>
      </c>
      <c r="E78" s="9">
        <v>1</v>
      </c>
      <c r="F78" s="9">
        <v>1</v>
      </c>
      <c r="G78" s="9">
        <v>1</v>
      </c>
      <c r="H78" s="9">
        <v>1</v>
      </c>
      <c r="I78" s="9">
        <v>1</v>
      </c>
      <c r="J78" s="19" t="s">
        <v>122</v>
      </c>
      <c r="K78" s="19"/>
      <c r="L78" s="19">
        <v>1</v>
      </c>
      <c r="M78" s="19">
        <v>1</v>
      </c>
      <c r="N78" s="19" t="s">
        <v>122</v>
      </c>
      <c r="O78" s="19">
        <v>1</v>
      </c>
      <c r="P78" s="19">
        <v>1</v>
      </c>
      <c r="Q78" s="9">
        <v>1</v>
      </c>
      <c r="R78" s="19"/>
      <c r="S78" s="19" t="s">
        <v>122</v>
      </c>
      <c r="T78" s="19">
        <v>0</v>
      </c>
      <c r="U78" s="19" t="s">
        <v>122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9">
        <v>0</v>
      </c>
      <c r="AE78" s="9">
        <v>0</v>
      </c>
      <c r="AF78" s="18">
        <v>0</v>
      </c>
      <c r="AG78" s="18">
        <v>0</v>
      </c>
      <c r="AH78" s="18">
        <v>0</v>
      </c>
      <c r="AI78" s="19" t="s">
        <v>122</v>
      </c>
      <c r="AJ78" s="19" t="s">
        <v>122</v>
      </c>
      <c r="AK78" s="19" t="s">
        <v>122</v>
      </c>
      <c r="AL78" s="9">
        <v>0</v>
      </c>
      <c r="AM78" s="9">
        <v>0</v>
      </c>
      <c r="AN78" s="36"/>
      <c r="AO78" s="19" t="s">
        <v>122</v>
      </c>
      <c r="AP78" s="19" t="s">
        <v>122</v>
      </c>
      <c r="AQ78" s="19"/>
      <c r="AR78" s="19">
        <v>1</v>
      </c>
      <c r="AS78" s="19"/>
      <c r="AT78" s="19"/>
      <c r="AU78" s="10">
        <v>1</v>
      </c>
      <c r="AV78" s="10">
        <v>1</v>
      </c>
      <c r="AW78" s="19"/>
      <c r="AX78" s="19"/>
      <c r="AY78" s="19"/>
      <c r="AZ78" s="20"/>
      <c r="BA78" s="20"/>
      <c r="BB78" s="19"/>
      <c r="BC78" s="19"/>
      <c r="BD78" s="19"/>
      <c r="BE78" s="19"/>
      <c r="BF78" s="19"/>
      <c r="BG78" s="19"/>
      <c r="BH78" s="19"/>
      <c r="BI78" s="10">
        <v>0</v>
      </c>
      <c r="BJ78" s="10">
        <v>0</v>
      </c>
      <c r="BK78" s="10">
        <v>0</v>
      </c>
      <c r="BL78" s="10">
        <v>0</v>
      </c>
      <c r="BM78" s="10">
        <v>0</v>
      </c>
      <c r="BN78" s="10">
        <v>0</v>
      </c>
      <c r="BO78" s="10">
        <v>0</v>
      </c>
      <c r="BP78" s="19"/>
      <c r="BQ78" s="19"/>
      <c r="BR78" s="19"/>
      <c r="BS78" s="19"/>
      <c r="BT78" s="33"/>
    </row>
    <row r="79" spans="1:72" ht="17.25" customHeight="1" x14ac:dyDescent="0.3">
      <c r="A79" s="80"/>
      <c r="B79" s="43" t="s">
        <v>94</v>
      </c>
      <c r="C79" s="17" t="s">
        <v>90</v>
      </c>
      <c r="D79" s="17">
        <v>329</v>
      </c>
      <c r="E79" s="9">
        <v>1</v>
      </c>
      <c r="F79" s="9">
        <v>1</v>
      </c>
      <c r="G79" s="9">
        <v>1</v>
      </c>
      <c r="H79" s="9">
        <v>1</v>
      </c>
      <c r="I79" s="9">
        <v>1</v>
      </c>
      <c r="J79" s="19" t="s">
        <v>122</v>
      </c>
      <c r="K79" s="19"/>
      <c r="L79" s="19">
        <v>1</v>
      </c>
      <c r="M79" s="19"/>
      <c r="N79" s="19" t="s">
        <v>122</v>
      </c>
      <c r="O79" s="19">
        <v>1</v>
      </c>
      <c r="P79" s="19">
        <v>0</v>
      </c>
      <c r="Q79" s="9">
        <v>1</v>
      </c>
      <c r="R79" s="19"/>
      <c r="S79" s="19" t="s">
        <v>122</v>
      </c>
      <c r="T79" s="19">
        <v>0</v>
      </c>
      <c r="U79" s="19" t="s">
        <v>122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18">
        <v>0</v>
      </c>
      <c r="AG79" s="18">
        <v>0</v>
      </c>
      <c r="AH79" s="18">
        <v>0</v>
      </c>
      <c r="AI79" s="19" t="s">
        <v>122</v>
      </c>
      <c r="AJ79" s="19" t="s">
        <v>122</v>
      </c>
      <c r="AK79" s="19" t="s">
        <v>122</v>
      </c>
      <c r="AL79" s="9">
        <v>0</v>
      </c>
      <c r="AM79" s="9">
        <v>0</v>
      </c>
      <c r="AN79" s="36"/>
      <c r="AO79" s="19" t="s">
        <v>122</v>
      </c>
      <c r="AP79" s="19" t="s">
        <v>122</v>
      </c>
      <c r="AQ79" s="19"/>
      <c r="AR79" s="19">
        <v>1</v>
      </c>
      <c r="AS79" s="19"/>
      <c r="AT79" s="19"/>
      <c r="AU79" s="10">
        <v>1</v>
      </c>
      <c r="AV79" s="10">
        <v>1</v>
      </c>
      <c r="AW79" s="19"/>
      <c r="AX79" s="19"/>
      <c r="AY79" s="19"/>
      <c r="AZ79" s="20"/>
      <c r="BA79" s="20"/>
      <c r="BB79" s="19"/>
      <c r="BC79" s="19"/>
      <c r="BD79" s="19"/>
      <c r="BE79" s="19"/>
      <c r="BF79" s="19"/>
      <c r="BG79" s="19"/>
      <c r="BH79" s="19"/>
      <c r="BI79" s="10">
        <v>0</v>
      </c>
      <c r="BJ79" s="10">
        <v>0</v>
      </c>
      <c r="BK79" s="10">
        <v>0</v>
      </c>
      <c r="BL79" s="10">
        <v>0</v>
      </c>
      <c r="BM79" s="10">
        <v>0</v>
      </c>
      <c r="BN79" s="10">
        <v>0</v>
      </c>
      <c r="BO79" s="10">
        <v>0</v>
      </c>
      <c r="BP79" s="19"/>
      <c r="BQ79" s="19"/>
      <c r="BR79" s="19"/>
      <c r="BS79" s="19"/>
      <c r="BT79" s="33"/>
    </row>
    <row r="80" spans="1:72" ht="17.25" customHeight="1" x14ac:dyDescent="0.3">
      <c r="A80" s="80"/>
      <c r="B80" s="43" t="s">
        <v>94</v>
      </c>
      <c r="C80" s="17" t="s">
        <v>90</v>
      </c>
      <c r="D80" s="17">
        <v>330</v>
      </c>
      <c r="E80" s="9">
        <v>1</v>
      </c>
      <c r="F80" s="9">
        <v>1</v>
      </c>
      <c r="G80" s="9">
        <v>1</v>
      </c>
      <c r="H80" s="9">
        <v>1</v>
      </c>
      <c r="I80" s="9">
        <v>1</v>
      </c>
      <c r="J80" s="19" t="s">
        <v>122</v>
      </c>
      <c r="K80" s="19"/>
      <c r="L80" s="19">
        <v>1</v>
      </c>
      <c r="M80" s="19"/>
      <c r="N80" s="19" t="s">
        <v>122</v>
      </c>
      <c r="O80" s="19">
        <v>1</v>
      </c>
      <c r="P80" s="19">
        <v>0</v>
      </c>
      <c r="Q80" s="9">
        <v>1</v>
      </c>
      <c r="R80" s="19"/>
      <c r="S80" s="19" t="s">
        <v>122</v>
      </c>
      <c r="T80" s="19">
        <v>0</v>
      </c>
      <c r="U80" s="19" t="s">
        <v>122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</v>
      </c>
      <c r="AB80" s="9">
        <v>0</v>
      </c>
      <c r="AC80" s="9">
        <v>0</v>
      </c>
      <c r="AD80" s="9">
        <v>0</v>
      </c>
      <c r="AE80" s="9">
        <v>0</v>
      </c>
      <c r="AF80" s="18">
        <v>0</v>
      </c>
      <c r="AG80" s="18">
        <v>0</v>
      </c>
      <c r="AH80" s="18">
        <v>0</v>
      </c>
      <c r="AI80" s="19" t="s">
        <v>122</v>
      </c>
      <c r="AJ80" s="19" t="s">
        <v>122</v>
      </c>
      <c r="AK80" s="19" t="s">
        <v>122</v>
      </c>
      <c r="AL80" s="9">
        <v>0</v>
      </c>
      <c r="AM80" s="9">
        <v>0</v>
      </c>
      <c r="AN80" s="36"/>
      <c r="AO80" s="19" t="s">
        <v>122</v>
      </c>
      <c r="AP80" s="19" t="s">
        <v>122</v>
      </c>
      <c r="AQ80" s="19"/>
      <c r="AR80" s="19">
        <v>1</v>
      </c>
      <c r="AS80" s="19"/>
      <c r="AT80" s="19"/>
      <c r="AU80" s="10">
        <v>1</v>
      </c>
      <c r="AV80" s="10">
        <v>1</v>
      </c>
      <c r="AW80" s="19"/>
      <c r="AX80" s="19"/>
      <c r="AY80" s="19"/>
      <c r="AZ80" s="20"/>
      <c r="BA80" s="20"/>
      <c r="BB80" s="19"/>
      <c r="BC80" s="19"/>
      <c r="BD80" s="19"/>
      <c r="BE80" s="19"/>
      <c r="BF80" s="19"/>
      <c r="BG80" s="19"/>
      <c r="BH80" s="19"/>
      <c r="BI80" s="10">
        <v>0</v>
      </c>
      <c r="BJ80" s="10">
        <v>0</v>
      </c>
      <c r="BK80" s="10">
        <v>0</v>
      </c>
      <c r="BL80" s="10">
        <v>0</v>
      </c>
      <c r="BM80" s="10">
        <v>0</v>
      </c>
      <c r="BN80" s="10">
        <v>0</v>
      </c>
      <c r="BO80" s="10">
        <v>0</v>
      </c>
      <c r="BP80" s="19"/>
      <c r="BQ80" s="19"/>
      <c r="BR80" s="19"/>
      <c r="BS80" s="19"/>
      <c r="BT80" s="33"/>
    </row>
    <row r="81" spans="1:72" ht="17.25" customHeight="1" x14ac:dyDescent="0.3">
      <c r="A81" s="80"/>
      <c r="B81" s="43" t="s">
        <v>94</v>
      </c>
      <c r="C81" s="17" t="s">
        <v>90</v>
      </c>
      <c r="D81" s="17">
        <v>331</v>
      </c>
      <c r="E81" s="9">
        <v>1</v>
      </c>
      <c r="F81" s="9">
        <v>1</v>
      </c>
      <c r="G81" s="9">
        <v>1</v>
      </c>
      <c r="H81" s="9">
        <v>1</v>
      </c>
      <c r="I81" s="9">
        <v>1</v>
      </c>
      <c r="J81" s="19" t="s">
        <v>122</v>
      </c>
      <c r="K81" s="19"/>
      <c r="L81" s="19">
        <v>1</v>
      </c>
      <c r="M81" s="19"/>
      <c r="N81" s="19" t="s">
        <v>122</v>
      </c>
      <c r="O81" s="19">
        <v>1</v>
      </c>
      <c r="P81" s="19">
        <v>0</v>
      </c>
      <c r="Q81" s="9">
        <v>1</v>
      </c>
      <c r="R81" s="19"/>
      <c r="S81" s="19" t="s">
        <v>122</v>
      </c>
      <c r="T81" s="19">
        <v>0</v>
      </c>
      <c r="U81" s="19" t="s">
        <v>122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18">
        <v>0</v>
      </c>
      <c r="AG81" s="18">
        <v>0</v>
      </c>
      <c r="AH81" s="18">
        <v>0</v>
      </c>
      <c r="AI81" s="19" t="s">
        <v>122</v>
      </c>
      <c r="AJ81" s="19" t="s">
        <v>122</v>
      </c>
      <c r="AK81" s="19" t="s">
        <v>122</v>
      </c>
      <c r="AL81" s="9">
        <v>0</v>
      </c>
      <c r="AM81" s="9">
        <v>0</v>
      </c>
      <c r="AN81" s="36"/>
      <c r="AO81" s="19" t="s">
        <v>122</v>
      </c>
      <c r="AP81" s="19" t="s">
        <v>122</v>
      </c>
      <c r="AQ81" s="19"/>
      <c r="AR81" s="19">
        <v>1</v>
      </c>
      <c r="AS81" s="19"/>
      <c r="AT81" s="19"/>
      <c r="AU81" s="10">
        <v>1</v>
      </c>
      <c r="AV81" s="10">
        <v>1</v>
      </c>
      <c r="AW81" s="19"/>
      <c r="AX81" s="19"/>
      <c r="AY81" s="19"/>
      <c r="AZ81" s="20"/>
      <c r="BA81" s="20"/>
      <c r="BB81" s="19"/>
      <c r="BC81" s="19"/>
      <c r="BD81" s="19"/>
      <c r="BE81" s="19"/>
      <c r="BF81" s="19"/>
      <c r="BG81" s="19"/>
      <c r="BH81" s="19"/>
      <c r="BI81" s="10">
        <v>0</v>
      </c>
      <c r="BJ81" s="10">
        <v>0</v>
      </c>
      <c r="BK81" s="10">
        <v>0</v>
      </c>
      <c r="BL81" s="10">
        <v>0</v>
      </c>
      <c r="BM81" s="10">
        <v>0</v>
      </c>
      <c r="BN81" s="10">
        <v>0</v>
      </c>
      <c r="BO81" s="10">
        <v>0</v>
      </c>
      <c r="BP81" s="19"/>
      <c r="BQ81" s="19"/>
      <c r="BR81" s="19"/>
      <c r="BS81" s="19"/>
      <c r="BT81" s="33"/>
    </row>
    <row r="82" spans="1:72" ht="17.25" customHeight="1" x14ac:dyDescent="0.3">
      <c r="A82" s="80"/>
      <c r="B82" s="43" t="s">
        <v>94</v>
      </c>
      <c r="C82" s="17" t="s">
        <v>90</v>
      </c>
      <c r="D82" s="17">
        <v>332</v>
      </c>
      <c r="E82" s="9">
        <v>1</v>
      </c>
      <c r="F82" s="9">
        <v>1</v>
      </c>
      <c r="G82" s="9">
        <v>1</v>
      </c>
      <c r="H82" s="9">
        <v>1</v>
      </c>
      <c r="I82" s="9">
        <v>1</v>
      </c>
      <c r="J82" s="19" t="s">
        <v>122</v>
      </c>
      <c r="K82" s="19"/>
      <c r="L82" s="19">
        <v>1</v>
      </c>
      <c r="M82" s="19"/>
      <c r="N82" s="19" t="s">
        <v>122</v>
      </c>
      <c r="O82" s="19">
        <v>1</v>
      </c>
      <c r="P82" s="19">
        <v>0</v>
      </c>
      <c r="Q82" s="9">
        <v>1</v>
      </c>
      <c r="R82" s="19"/>
      <c r="S82" s="19" t="s">
        <v>122</v>
      </c>
      <c r="T82" s="19">
        <v>0</v>
      </c>
      <c r="U82" s="19" t="s">
        <v>122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9">
        <v>0</v>
      </c>
      <c r="AC82" s="9">
        <v>0</v>
      </c>
      <c r="AD82" s="9">
        <v>0</v>
      </c>
      <c r="AE82" s="9">
        <v>0</v>
      </c>
      <c r="AF82" s="18">
        <v>0</v>
      </c>
      <c r="AG82" s="18">
        <v>0</v>
      </c>
      <c r="AH82" s="18">
        <v>0</v>
      </c>
      <c r="AI82" s="19" t="s">
        <v>122</v>
      </c>
      <c r="AJ82" s="19" t="s">
        <v>122</v>
      </c>
      <c r="AK82" s="19" t="s">
        <v>122</v>
      </c>
      <c r="AL82" s="9">
        <v>0</v>
      </c>
      <c r="AM82" s="9">
        <v>0</v>
      </c>
      <c r="AN82" s="36"/>
      <c r="AO82" s="19" t="s">
        <v>122</v>
      </c>
      <c r="AP82" s="19" t="s">
        <v>122</v>
      </c>
      <c r="AQ82" s="19"/>
      <c r="AR82" s="19">
        <v>1</v>
      </c>
      <c r="AS82" s="19"/>
      <c r="AT82" s="19"/>
      <c r="AU82" s="10">
        <v>1</v>
      </c>
      <c r="AV82" s="10">
        <v>1</v>
      </c>
      <c r="AW82" s="19"/>
      <c r="AX82" s="19"/>
      <c r="AY82" s="19"/>
      <c r="AZ82" s="20"/>
      <c r="BA82" s="20"/>
      <c r="BB82" s="19"/>
      <c r="BC82" s="19"/>
      <c r="BD82" s="19"/>
      <c r="BE82" s="19"/>
      <c r="BF82" s="19"/>
      <c r="BG82" s="19"/>
      <c r="BH82" s="19"/>
      <c r="BI82" s="10">
        <v>0</v>
      </c>
      <c r="BJ82" s="10">
        <v>0</v>
      </c>
      <c r="BK82" s="10">
        <v>0</v>
      </c>
      <c r="BL82" s="10">
        <v>0</v>
      </c>
      <c r="BM82" s="10">
        <v>0</v>
      </c>
      <c r="BN82" s="10">
        <v>0</v>
      </c>
      <c r="BO82" s="10">
        <v>0</v>
      </c>
      <c r="BP82" s="19"/>
      <c r="BQ82" s="19"/>
      <c r="BR82" s="19"/>
      <c r="BS82" s="19"/>
      <c r="BT82" s="33"/>
    </row>
    <row r="83" spans="1:72" ht="17.25" customHeight="1" x14ac:dyDescent="0.3">
      <c r="A83" s="80"/>
      <c r="B83" s="43" t="s">
        <v>94</v>
      </c>
      <c r="C83" s="17" t="s">
        <v>90</v>
      </c>
      <c r="D83" s="17">
        <v>333</v>
      </c>
      <c r="E83" s="9">
        <v>1</v>
      </c>
      <c r="F83" s="9">
        <v>1</v>
      </c>
      <c r="G83" s="9">
        <v>1</v>
      </c>
      <c r="H83" s="9">
        <v>1</v>
      </c>
      <c r="I83" s="9">
        <v>1</v>
      </c>
      <c r="J83" s="19" t="s">
        <v>122</v>
      </c>
      <c r="K83" s="19"/>
      <c r="L83" s="19">
        <v>1</v>
      </c>
      <c r="M83" s="19"/>
      <c r="N83" s="19" t="s">
        <v>122</v>
      </c>
      <c r="O83" s="19">
        <v>1</v>
      </c>
      <c r="P83" s="19">
        <v>0</v>
      </c>
      <c r="Q83" s="9">
        <v>1</v>
      </c>
      <c r="R83" s="19"/>
      <c r="S83" s="19" t="s">
        <v>122</v>
      </c>
      <c r="T83" s="19">
        <v>0</v>
      </c>
      <c r="U83" s="19" t="s">
        <v>122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</v>
      </c>
      <c r="AF83" s="18">
        <v>0</v>
      </c>
      <c r="AG83" s="18">
        <v>0</v>
      </c>
      <c r="AH83" s="18">
        <v>0</v>
      </c>
      <c r="AI83" s="19" t="s">
        <v>122</v>
      </c>
      <c r="AJ83" s="19" t="s">
        <v>122</v>
      </c>
      <c r="AK83" s="19" t="s">
        <v>122</v>
      </c>
      <c r="AL83" s="9">
        <v>0</v>
      </c>
      <c r="AM83" s="9">
        <v>0</v>
      </c>
      <c r="AN83" s="36"/>
      <c r="AO83" s="19" t="s">
        <v>122</v>
      </c>
      <c r="AP83" s="19" t="s">
        <v>122</v>
      </c>
      <c r="AQ83" s="19"/>
      <c r="AR83" s="19">
        <v>1</v>
      </c>
      <c r="AS83" s="19"/>
      <c r="AT83" s="19"/>
      <c r="AU83" s="10">
        <v>1</v>
      </c>
      <c r="AV83" s="10">
        <v>1</v>
      </c>
      <c r="AW83" s="19"/>
      <c r="AX83" s="19"/>
      <c r="AY83" s="19"/>
      <c r="AZ83" s="20"/>
      <c r="BA83" s="20"/>
      <c r="BB83" s="19"/>
      <c r="BC83" s="19"/>
      <c r="BD83" s="19"/>
      <c r="BE83" s="19"/>
      <c r="BF83" s="19"/>
      <c r="BG83" s="19"/>
      <c r="BH83" s="19"/>
      <c r="BI83" s="10">
        <v>0</v>
      </c>
      <c r="BJ83" s="10">
        <v>0</v>
      </c>
      <c r="BK83" s="10">
        <v>0</v>
      </c>
      <c r="BL83" s="10">
        <v>0</v>
      </c>
      <c r="BM83" s="10">
        <v>0</v>
      </c>
      <c r="BN83" s="10">
        <v>0</v>
      </c>
      <c r="BO83" s="10">
        <v>0</v>
      </c>
      <c r="BP83" s="19"/>
      <c r="BQ83" s="19"/>
      <c r="BR83" s="19"/>
      <c r="BS83" s="19"/>
      <c r="BT83" s="33"/>
    </row>
    <row r="84" spans="1:72" ht="17.25" customHeight="1" thickBot="1" x14ac:dyDescent="0.35">
      <c r="A84" s="81"/>
      <c r="B84" s="43" t="s">
        <v>94</v>
      </c>
      <c r="C84" s="17" t="s">
        <v>90</v>
      </c>
      <c r="D84" s="17">
        <v>334</v>
      </c>
      <c r="E84" s="9">
        <v>1</v>
      </c>
      <c r="F84" s="9">
        <v>1</v>
      </c>
      <c r="G84" s="9">
        <v>1</v>
      </c>
      <c r="H84" s="9">
        <v>1</v>
      </c>
      <c r="I84" s="9">
        <v>1</v>
      </c>
      <c r="J84" s="19" t="s">
        <v>122</v>
      </c>
      <c r="K84" s="19"/>
      <c r="L84" s="19">
        <v>1</v>
      </c>
      <c r="M84" s="19"/>
      <c r="N84" s="19" t="s">
        <v>122</v>
      </c>
      <c r="O84" s="19">
        <v>0</v>
      </c>
      <c r="P84" s="19">
        <v>0</v>
      </c>
      <c r="Q84" s="9">
        <v>1</v>
      </c>
      <c r="R84" s="19"/>
      <c r="S84" s="19" t="s">
        <v>122</v>
      </c>
      <c r="T84" s="19">
        <v>0</v>
      </c>
      <c r="U84" s="19" t="s">
        <v>122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9">
        <v>0</v>
      </c>
      <c r="AC84" s="9">
        <v>0</v>
      </c>
      <c r="AD84" s="9">
        <v>0</v>
      </c>
      <c r="AE84" s="9">
        <v>0</v>
      </c>
      <c r="AF84" s="18">
        <v>0</v>
      </c>
      <c r="AG84" s="18">
        <v>0</v>
      </c>
      <c r="AH84" s="18">
        <v>0</v>
      </c>
      <c r="AI84" s="19" t="s">
        <v>122</v>
      </c>
      <c r="AJ84" s="19" t="s">
        <v>122</v>
      </c>
      <c r="AK84" s="19" t="s">
        <v>122</v>
      </c>
      <c r="AL84" s="9">
        <v>0</v>
      </c>
      <c r="AM84" s="9">
        <v>0</v>
      </c>
      <c r="AN84" s="36"/>
      <c r="AO84" s="19" t="s">
        <v>122</v>
      </c>
      <c r="AP84" s="19" t="s">
        <v>122</v>
      </c>
      <c r="AQ84" s="19"/>
      <c r="AR84" s="19">
        <v>1</v>
      </c>
      <c r="AS84" s="19"/>
      <c r="AT84" s="19"/>
      <c r="AU84" s="10">
        <v>1</v>
      </c>
      <c r="AV84" s="10">
        <v>1</v>
      </c>
      <c r="AW84" s="19"/>
      <c r="AX84" s="19"/>
      <c r="AY84" s="19"/>
      <c r="AZ84" s="20"/>
      <c r="BA84" s="20"/>
      <c r="BB84" s="19"/>
      <c r="BC84" s="19"/>
      <c r="BD84" s="19"/>
      <c r="BE84" s="19"/>
      <c r="BF84" s="19"/>
      <c r="BG84" s="19"/>
      <c r="BH84" s="19"/>
      <c r="BI84" s="10">
        <v>0</v>
      </c>
      <c r="BJ84" s="10">
        <v>0</v>
      </c>
      <c r="BK84" s="10">
        <v>0</v>
      </c>
      <c r="BL84" s="10">
        <v>0</v>
      </c>
      <c r="BM84" s="10">
        <v>0</v>
      </c>
      <c r="BN84" s="10">
        <v>0</v>
      </c>
      <c r="BO84" s="10">
        <v>0</v>
      </c>
      <c r="BP84" s="19"/>
      <c r="BQ84" s="19"/>
      <c r="BR84" s="19"/>
      <c r="BS84" s="19"/>
      <c r="BT84" s="33"/>
    </row>
    <row r="85" spans="1:72" ht="17.25" customHeight="1" x14ac:dyDescent="0.3">
      <c r="A85" s="64" t="s">
        <v>96</v>
      </c>
      <c r="B85" s="41" t="s">
        <v>89</v>
      </c>
      <c r="C85" s="8" t="s">
        <v>90</v>
      </c>
      <c r="D85" s="8">
        <v>401</v>
      </c>
      <c r="E85" s="9">
        <v>1</v>
      </c>
      <c r="F85" s="9">
        <v>1</v>
      </c>
      <c r="G85" s="9">
        <v>1</v>
      </c>
      <c r="H85" s="9">
        <v>1</v>
      </c>
      <c r="I85" s="9">
        <v>1</v>
      </c>
      <c r="J85" s="10" t="s">
        <v>122</v>
      </c>
      <c r="K85" s="10"/>
      <c r="L85" s="10"/>
      <c r="M85" s="10"/>
      <c r="N85" s="10" t="s">
        <v>122</v>
      </c>
      <c r="O85" s="10"/>
      <c r="P85" s="10"/>
      <c r="Q85" s="9"/>
      <c r="R85" s="10"/>
      <c r="S85" s="10" t="s">
        <v>122</v>
      </c>
      <c r="T85" s="10">
        <v>0</v>
      </c>
      <c r="U85" s="10" t="s">
        <v>122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9">
        <v>0</v>
      </c>
      <c r="AC85" s="9">
        <v>0</v>
      </c>
      <c r="AD85" s="9">
        <v>0</v>
      </c>
      <c r="AE85" s="9">
        <v>0</v>
      </c>
      <c r="AF85" s="18">
        <v>0</v>
      </c>
      <c r="AG85" s="18">
        <v>0</v>
      </c>
      <c r="AH85" s="18">
        <v>0</v>
      </c>
      <c r="AI85" s="10" t="s">
        <v>122</v>
      </c>
      <c r="AJ85" s="10" t="s">
        <v>122</v>
      </c>
      <c r="AK85" s="10" t="s">
        <v>122</v>
      </c>
      <c r="AL85" s="9">
        <v>0</v>
      </c>
      <c r="AM85" s="9">
        <v>0</v>
      </c>
      <c r="AN85" s="34"/>
      <c r="AO85" s="10" t="s">
        <v>122</v>
      </c>
      <c r="AP85" s="10" t="s">
        <v>122</v>
      </c>
      <c r="AQ85" s="10"/>
      <c r="AR85" s="10"/>
      <c r="AS85" s="10"/>
      <c r="AT85" s="10"/>
      <c r="AU85" s="10"/>
      <c r="AV85" s="10"/>
      <c r="AW85" s="10"/>
      <c r="AX85" s="10"/>
      <c r="AY85" s="10"/>
      <c r="AZ85" s="11"/>
      <c r="BA85" s="11"/>
      <c r="BB85" s="10"/>
      <c r="BC85" s="10"/>
      <c r="BD85" s="10"/>
      <c r="BE85" s="10"/>
      <c r="BF85" s="10"/>
      <c r="BG85" s="10"/>
      <c r="BH85" s="10"/>
      <c r="BI85" s="10">
        <v>0</v>
      </c>
      <c r="BJ85" s="10">
        <v>0</v>
      </c>
      <c r="BK85" s="10">
        <v>0</v>
      </c>
      <c r="BL85" s="10">
        <v>0</v>
      </c>
      <c r="BM85" s="10">
        <v>0</v>
      </c>
      <c r="BN85" s="10">
        <v>0</v>
      </c>
      <c r="BO85" s="10">
        <v>0</v>
      </c>
      <c r="BP85" s="10"/>
      <c r="BQ85" s="10"/>
      <c r="BR85" s="10"/>
      <c r="BS85" s="10"/>
      <c r="BT85" s="28"/>
    </row>
    <row r="86" spans="1:72" ht="17.25" customHeight="1" x14ac:dyDescent="0.3">
      <c r="A86" s="65"/>
      <c r="B86" s="41" t="s">
        <v>89</v>
      </c>
      <c r="C86" s="8" t="s">
        <v>90</v>
      </c>
      <c r="D86" s="8">
        <v>402</v>
      </c>
      <c r="E86" s="9">
        <v>1</v>
      </c>
      <c r="F86" s="9">
        <v>1</v>
      </c>
      <c r="G86" s="9">
        <v>1</v>
      </c>
      <c r="H86" s="9">
        <v>1</v>
      </c>
      <c r="I86" s="9">
        <v>1</v>
      </c>
      <c r="J86" s="10" t="s">
        <v>122</v>
      </c>
      <c r="K86" s="10"/>
      <c r="L86" s="10"/>
      <c r="M86" s="10"/>
      <c r="N86" s="10" t="s">
        <v>122</v>
      </c>
      <c r="O86" s="10"/>
      <c r="P86" s="10"/>
      <c r="Q86" s="9"/>
      <c r="R86" s="10"/>
      <c r="S86" s="10" t="s">
        <v>122</v>
      </c>
      <c r="T86" s="10">
        <v>0</v>
      </c>
      <c r="U86" s="10" t="s">
        <v>122</v>
      </c>
      <c r="V86" s="9">
        <v>0</v>
      </c>
      <c r="W86" s="9">
        <v>0</v>
      </c>
      <c r="X86" s="9">
        <v>0</v>
      </c>
      <c r="Y86" s="9">
        <v>0</v>
      </c>
      <c r="Z86" s="9">
        <v>0</v>
      </c>
      <c r="AA86" s="9">
        <v>0</v>
      </c>
      <c r="AB86" s="9">
        <v>0</v>
      </c>
      <c r="AC86" s="9">
        <v>0</v>
      </c>
      <c r="AD86" s="9">
        <v>0</v>
      </c>
      <c r="AE86" s="9">
        <v>0</v>
      </c>
      <c r="AF86" s="18">
        <v>0</v>
      </c>
      <c r="AG86" s="18">
        <v>0</v>
      </c>
      <c r="AH86" s="18">
        <v>0</v>
      </c>
      <c r="AI86" s="10" t="s">
        <v>122</v>
      </c>
      <c r="AJ86" s="10" t="s">
        <v>122</v>
      </c>
      <c r="AK86" s="10" t="s">
        <v>122</v>
      </c>
      <c r="AL86" s="9">
        <v>0</v>
      </c>
      <c r="AM86" s="9">
        <v>0</v>
      </c>
      <c r="AN86" s="34"/>
      <c r="AO86" s="10" t="s">
        <v>122</v>
      </c>
      <c r="AP86" s="10" t="s">
        <v>122</v>
      </c>
      <c r="AQ86" s="10"/>
      <c r="AR86" s="10"/>
      <c r="AS86" s="10"/>
      <c r="AT86" s="10"/>
      <c r="AU86" s="10"/>
      <c r="AV86" s="10"/>
      <c r="AW86" s="10"/>
      <c r="AX86" s="10"/>
      <c r="AY86" s="10"/>
      <c r="AZ86" s="11"/>
      <c r="BA86" s="11"/>
      <c r="BB86" s="10"/>
      <c r="BC86" s="10"/>
      <c r="BD86" s="10"/>
      <c r="BE86" s="10"/>
      <c r="BF86" s="10"/>
      <c r="BG86" s="10"/>
      <c r="BH86" s="10"/>
      <c r="BI86" s="10">
        <v>0</v>
      </c>
      <c r="BJ86" s="10">
        <v>0</v>
      </c>
      <c r="BK86" s="10">
        <v>0</v>
      </c>
      <c r="BL86" s="10">
        <v>0</v>
      </c>
      <c r="BM86" s="10">
        <v>0</v>
      </c>
      <c r="BN86" s="10">
        <v>0</v>
      </c>
      <c r="BO86" s="10">
        <v>0</v>
      </c>
      <c r="BP86" s="10"/>
      <c r="BQ86" s="10"/>
      <c r="BR86" s="10"/>
      <c r="BS86" s="10"/>
      <c r="BT86" s="28"/>
    </row>
    <row r="87" spans="1:72" ht="17.25" customHeight="1" x14ac:dyDescent="0.3">
      <c r="A87" s="65"/>
      <c r="B87" s="41" t="s">
        <v>89</v>
      </c>
      <c r="C87" s="8" t="s">
        <v>91</v>
      </c>
      <c r="D87" s="8">
        <v>403</v>
      </c>
      <c r="E87" s="9">
        <v>1</v>
      </c>
      <c r="F87" s="9">
        <v>1</v>
      </c>
      <c r="G87" s="9">
        <v>1</v>
      </c>
      <c r="H87" s="9">
        <v>1</v>
      </c>
      <c r="I87" s="9">
        <v>1</v>
      </c>
      <c r="J87" s="10" t="s">
        <v>122</v>
      </c>
      <c r="K87" s="10"/>
      <c r="L87" s="10"/>
      <c r="M87" s="10"/>
      <c r="N87" s="10" t="s">
        <v>122</v>
      </c>
      <c r="O87" s="10"/>
      <c r="P87" s="10"/>
      <c r="Q87" s="9"/>
      <c r="R87" s="10"/>
      <c r="S87" s="10" t="s">
        <v>122</v>
      </c>
      <c r="T87" s="10">
        <v>0</v>
      </c>
      <c r="U87" s="10" t="s">
        <v>122</v>
      </c>
      <c r="V87" s="9">
        <v>0</v>
      </c>
      <c r="W87" s="9">
        <v>0</v>
      </c>
      <c r="X87" s="9">
        <v>0</v>
      </c>
      <c r="Y87" s="9">
        <v>0</v>
      </c>
      <c r="Z87" s="9">
        <v>0</v>
      </c>
      <c r="AA87" s="9">
        <v>0</v>
      </c>
      <c r="AB87" s="9">
        <v>0</v>
      </c>
      <c r="AC87" s="9">
        <v>0</v>
      </c>
      <c r="AD87" s="9">
        <v>0</v>
      </c>
      <c r="AE87" s="9">
        <v>0</v>
      </c>
      <c r="AF87" s="18">
        <v>0</v>
      </c>
      <c r="AG87" s="18">
        <v>0</v>
      </c>
      <c r="AH87" s="18">
        <v>0</v>
      </c>
      <c r="AI87" s="10" t="s">
        <v>122</v>
      </c>
      <c r="AJ87" s="10" t="s">
        <v>122</v>
      </c>
      <c r="AK87" s="10" t="s">
        <v>122</v>
      </c>
      <c r="AL87" s="9">
        <v>0</v>
      </c>
      <c r="AM87" s="9">
        <v>0</v>
      </c>
      <c r="AN87" s="34"/>
      <c r="AO87" s="10" t="s">
        <v>122</v>
      </c>
      <c r="AP87" s="10" t="s">
        <v>122</v>
      </c>
      <c r="AQ87" s="10"/>
      <c r="AR87" s="10"/>
      <c r="AS87" s="10"/>
      <c r="AT87" s="10"/>
      <c r="AU87" s="10"/>
      <c r="AV87" s="10"/>
      <c r="AW87" s="10"/>
      <c r="AX87" s="10"/>
      <c r="AY87" s="10"/>
      <c r="AZ87" s="11"/>
      <c r="BA87" s="11"/>
      <c r="BB87" s="10"/>
      <c r="BC87" s="10"/>
      <c r="BD87" s="10"/>
      <c r="BE87" s="10"/>
      <c r="BF87" s="10"/>
      <c r="BG87" s="10"/>
      <c r="BH87" s="10"/>
      <c r="BI87" s="10">
        <v>0</v>
      </c>
      <c r="BJ87" s="10">
        <v>0</v>
      </c>
      <c r="BK87" s="10">
        <v>0</v>
      </c>
      <c r="BL87" s="10">
        <v>0</v>
      </c>
      <c r="BM87" s="10">
        <v>0</v>
      </c>
      <c r="BN87" s="10">
        <v>0</v>
      </c>
      <c r="BO87" s="10">
        <v>0</v>
      </c>
      <c r="BP87" s="10"/>
      <c r="BQ87" s="10"/>
      <c r="BR87" s="10"/>
      <c r="BS87" s="10"/>
      <c r="BT87" s="28"/>
    </row>
    <row r="88" spans="1:72" ht="17.25" customHeight="1" x14ac:dyDescent="0.3">
      <c r="A88" s="65"/>
      <c r="B88" s="41" t="s">
        <v>89</v>
      </c>
      <c r="C88" s="8" t="s">
        <v>90</v>
      </c>
      <c r="D88" s="8">
        <v>404</v>
      </c>
      <c r="E88" s="9">
        <v>1</v>
      </c>
      <c r="F88" s="9">
        <v>1</v>
      </c>
      <c r="G88" s="9">
        <v>1</v>
      </c>
      <c r="H88" s="9">
        <v>1</v>
      </c>
      <c r="I88" s="9">
        <v>1</v>
      </c>
      <c r="J88" s="10" t="s">
        <v>122</v>
      </c>
      <c r="K88" s="10"/>
      <c r="L88" s="10"/>
      <c r="M88" s="10"/>
      <c r="N88" s="10" t="s">
        <v>122</v>
      </c>
      <c r="O88" s="10"/>
      <c r="P88" s="10"/>
      <c r="Q88" s="9"/>
      <c r="R88" s="10"/>
      <c r="S88" s="10" t="s">
        <v>122</v>
      </c>
      <c r="T88" s="10">
        <v>0</v>
      </c>
      <c r="U88" s="10" t="s">
        <v>122</v>
      </c>
      <c r="V88" s="9">
        <v>0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9">
        <v>0</v>
      </c>
      <c r="AC88" s="9">
        <v>0</v>
      </c>
      <c r="AD88" s="9">
        <v>0</v>
      </c>
      <c r="AE88" s="9">
        <v>0</v>
      </c>
      <c r="AF88" s="18">
        <v>0</v>
      </c>
      <c r="AG88" s="18">
        <v>0</v>
      </c>
      <c r="AH88" s="18">
        <v>0</v>
      </c>
      <c r="AI88" s="10" t="s">
        <v>122</v>
      </c>
      <c r="AJ88" s="10" t="s">
        <v>122</v>
      </c>
      <c r="AK88" s="10" t="s">
        <v>122</v>
      </c>
      <c r="AL88" s="9">
        <v>0</v>
      </c>
      <c r="AM88" s="9">
        <v>0</v>
      </c>
      <c r="AN88" s="34"/>
      <c r="AO88" s="10" t="s">
        <v>122</v>
      </c>
      <c r="AP88" s="10" t="s">
        <v>122</v>
      </c>
      <c r="AQ88" s="10"/>
      <c r="AR88" s="10"/>
      <c r="AS88" s="10"/>
      <c r="AT88" s="10"/>
      <c r="AU88" s="10"/>
      <c r="AV88" s="10"/>
      <c r="AW88" s="10"/>
      <c r="AX88" s="10"/>
      <c r="AY88" s="10"/>
      <c r="AZ88" s="11"/>
      <c r="BA88" s="11"/>
      <c r="BB88" s="10"/>
      <c r="BC88" s="10"/>
      <c r="BD88" s="10"/>
      <c r="BE88" s="10"/>
      <c r="BF88" s="10"/>
      <c r="BG88" s="10"/>
      <c r="BH88" s="10"/>
      <c r="BI88" s="10">
        <v>0</v>
      </c>
      <c r="BJ88" s="10">
        <v>0</v>
      </c>
      <c r="BK88" s="10">
        <v>0</v>
      </c>
      <c r="BL88" s="10">
        <v>0</v>
      </c>
      <c r="BM88" s="10">
        <v>0</v>
      </c>
      <c r="BN88" s="10">
        <v>0</v>
      </c>
      <c r="BO88" s="10">
        <v>0</v>
      </c>
      <c r="BP88" s="10"/>
      <c r="BQ88" s="10"/>
      <c r="BR88" s="10"/>
      <c r="BS88" s="10"/>
      <c r="BT88" s="28"/>
    </row>
    <row r="89" spans="1:72" ht="17.25" customHeight="1" x14ac:dyDescent="0.3">
      <c r="A89" s="65"/>
      <c r="B89" s="41" t="s">
        <v>89</v>
      </c>
      <c r="C89" s="8" t="s">
        <v>90</v>
      </c>
      <c r="D89" s="8">
        <v>405</v>
      </c>
      <c r="E89" s="9">
        <v>1</v>
      </c>
      <c r="F89" s="9">
        <v>1</v>
      </c>
      <c r="G89" s="9">
        <v>1</v>
      </c>
      <c r="H89" s="9">
        <v>1</v>
      </c>
      <c r="I89" s="9">
        <v>1</v>
      </c>
      <c r="J89" s="10" t="s">
        <v>122</v>
      </c>
      <c r="K89" s="10"/>
      <c r="L89" s="10"/>
      <c r="M89" s="10"/>
      <c r="N89" s="10" t="s">
        <v>122</v>
      </c>
      <c r="O89" s="10"/>
      <c r="P89" s="10"/>
      <c r="Q89" s="9"/>
      <c r="R89" s="10"/>
      <c r="S89" s="10" t="s">
        <v>122</v>
      </c>
      <c r="T89" s="10">
        <v>0</v>
      </c>
      <c r="U89" s="10" t="s">
        <v>122</v>
      </c>
      <c r="V89" s="9">
        <v>0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9">
        <v>0</v>
      </c>
      <c r="AC89" s="9">
        <v>0</v>
      </c>
      <c r="AD89" s="9">
        <v>0</v>
      </c>
      <c r="AE89" s="9">
        <v>0</v>
      </c>
      <c r="AF89" s="18">
        <v>0</v>
      </c>
      <c r="AG89" s="18">
        <v>0</v>
      </c>
      <c r="AH89" s="18">
        <v>0</v>
      </c>
      <c r="AI89" s="10" t="s">
        <v>122</v>
      </c>
      <c r="AJ89" s="10" t="s">
        <v>122</v>
      </c>
      <c r="AK89" s="10" t="s">
        <v>122</v>
      </c>
      <c r="AL89" s="9">
        <v>0</v>
      </c>
      <c r="AM89" s="9">
        <v>0</v>
      </c>
      <c r="AN89" s="34"/>
      <c r="AO89" s="10" t="s">
        <v>122</v>
      </c>
      <c r="AP89" s="10" t="s">
        <v>122</v>
      </c>
      <c r="AQ89" s="10"/>
      <c r="AR89" s="10"/>
      <c r="AS89" s="10"/>
      <c r="AT89" s="10"/>
      <c r="AU89" s="10"/>
      <c r="AV89" s="10"/>
      <c r="AW89" s="10"/>
      <c r="AX89" s="10"/>
      <c r="AY89" s="10"/>
      <c r="AZ89" s="11"/>
      <c r="BA89" s="11"/>
      <c r="BB89" s="10"/>
      <c r="BC89" s="10"/>
      <c r="BD89" s="10"/>
      <c r="BE89" s="10"/>
      <c r="BF89" s="10"/>
      <c r="BG89" s="10"/>
      <c r="BH89" s="10"/>
      <c r="BI89" s="10">
        <v>0</v>
      </c>
      <c r="BJ89" s="10">
        <v>0</v>
      </c>
      <c r="BK89" s="10">
        <v>0</v>
      </c>
      <c r="BL89" s="10">
        <v>0</v>
      </c>
      <c r="BM89" s="10">
        <v>0</v>
      </c>
      <c r="BN89" s="10">
        <v>0</v>
      </c>
      <c r="BO89" s="10">
        <v>0</v>
      </c>
      <c r="BP89" s="10"/>
      <c r="BQ89" s="10"/>
      <c r="BR89" s="10"/>
      <c r="BS89" s="10"/>
      <c r="BT89" s="28"/>
    </row>
    <row r="90" spans="1:72" ht="17.25" customHeight="1" x14ac:dyDescent="0.3">
      <c r="A90" s="65"/>
      <c r="B90" s="41" t="s">
        <v>89</v>
      </c>
      <c r="C90" s="8" t="s">
        <v>91</v>
      </c>
      <c r="D90" s="8">
        <v>406</v>
      </c>
      <c r="E90" s="9">
        <v>1</v>
      </c>
      <c r="F90" s="9">
        <v>1</v>
      </c>
      <c r="G90" s="9">
        <v>1</v>
      </c>
      <c r="H90" s="9">
        <v>1</v>
      </c>
      <c r="I90" s="9">
        <v>1</v>
      </c>
      <c r="J90" s="10" t="s">
        <v>122</v>
      </c>
      <c r="K90" s="10"/>
      <c r="L90" s="10"/>
      <c r="M90" s="10"/>
      <c r="N90" s="10" t="s">
        <v>122</v>
      </c>
      <c r="O90" s="10"/>
      <c r="P90" s="10"/>
      <c r="Q90" s="9"/>
      <c r="R90" s="10"/>
      <c r="S90" s="10" t="s">
        <v>122</v>
      </c>
      <c r="T90" s="10">
        <v>0</v>
      </c>
      <c r="U90" s="10" t="s">
        <v>122</v>
      </c>
      <c r="V90" s="9">
        <v>0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</v>
      </c>
      <c r="AC90" s="9">
        <v>0</v>
      </c>
      <c r="AD90" s="9">
        <v>0</v>
      </c>
      <c r="AE90" s="9">
        <v>0</v>
      </c>
      <c r="AF90" s="18">
        <v>0</v>
      </c>
      <c r="AG90" s="18">
        <v>0</v>
      </c>
      <c r="AH90" s="18">
        <v>0</v>
      </c>
      <c r="AI90" s="10" t="s">
        <v>122</v>
      </c>
      <c r="AJ90" s="10" t="s">
        <v>122</v>
      </c>
      <c r="AK90" s="10" t="s">
        <v>122</v>
      </c>
      <c r="AL90" s="9">
        <v>0</v>
      </c>
      <c r="AM90" s="9">
        <v>0</v>
      </c>
      <c r="AN90" s="34"/>
      <c r="AO90" s="10" t="s">
        <v>122</v>
      </c>
      <c r="AP90" s="10" t="s">
        <v>122</v>
      </c>
      <c r="AQ90" s="10"/>
      <c r="AR90" s="10"/>
      <c r="AS90" s="10"/>
      <c r="AT90" s="10"/>
      <c r="AU90" s="10"/>
      <c r="AV90" s="10"/>
      <c r="AW90" s="10"/>
      <c r="AX90" s="10"/>
      <c r="AY90" s="10"/>
      <c r="AZ90" s="11"/>
      <c r="BA90" s="11"/>
      <c r="BB90" s="10"/>
      <c r="BC90" s="10"/>
      <c r="BD90" s="10"/>
      <c r="BE90" s="10"/>
      <c r="BF90" s="10"/>
      <c r="BG90" s="10"/>
      <c r="BH90" s="10"/>
      <c r="BI90" s="10">
        <v>0</v>
      </c>
      <c r="BJ90" s="10">
        <v>0</v>
      </c>
      <c r="BK90" s="10">
        <v>0</v>
      </c>
      <c r="BL90" s="10">
        <v>0</v>
      </c>
      <c r="BM90" s="10">
        <v>0</v>
      </c>
      <c r="BN90" s="10">
        <v>0</v>
      </c>
      <c r="BO90" s="10">
        <v>0</v>
      </c>
      <c r="BP90" s="10"/>
      <c r="BQ90" s="10"/>
      <c r="BR90" s="10"/>
      <c r="BS90" s="10"/>
      <c r="BT90" s="28"/>
    </row>
    <row r="91" spans="1:72" ht="17.25" customHeight="1" x14ac:dyDescent="0.3">
      <c r="A91" s="65"/>
      <c r="B91" s="41" t="s">
        <v>89</v>
      </c>
      <c r="C91" s="8" t="s">
        <v>90</v>
      </c>
      <c r="D91" s="8">
        <v>407</v>
      </c>
      <c r="E91" s="9">
        <v>1</v>
      </c>
      <c r="F91" s="9">
        <v>1</v>
      </c>
      <c r="G91" s="9">
        <v>1</v>
      </c>
      <c r="H91" s="9">
        <v>1</v>
      </c>
      <c r="I91" s="9">
        <v>1</v>
      </c>
      <c r="J91" s="10" t="s">
        <v>122</v>
      </c>
      <c r="K91" s="10"/>
      <c r="L91" s="10"/>
      <c r="M91" s="10"/>
      <c r="N91" s="10" t="s">
        <v>122</v>
      </c>
      <c r="O91" s="10"/>
      <c r="P91" s="10"/>
      <c r="Q91" s="9"/>
      <c r="R91" s="10"/>
      <c r="S91" s="10" t="s">
        <v>122</v>
      </c>
      <c r="T91" s="10">
        <v>0</v>
      </c>
      <c r="U91" s="10" t="s">
        <v>122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0</v>
      </c>
      <c r="AB91" s="9">
        <v>0</v>
      </c>
      <c r="AC91" s="9">
        <v>0</v>
      </c>
      <c r="AD91" s="9">
        <v>0</v>
      </c>
      <c r="AE91" s="9">
        <v>0</v>
      </c>
      <c r="AF91" s="18">
        <v>0</v>
      </c>
      <c r="AG91" s="18">
        <v>0</v>
      </c>
      <c r="AH91" s="18">
        <v>0</v>
      </c>
      <c r="AI91" s="10" t="s">
        <v>122</v>
      </c>
      <c r="AJ91" s="10" t="s">
        <v>122</v>
      </c>
      <c r="AK91" s="10" t="s">
        <v>122</v>
      </c>
      <c r="AL91" s="9">
        <v>0</v>
      </c>
      <c r="AM91" s="9">
        <v>0</v>
      </c>
      <c r="AN91" s="34"/>
      <c r="AO91" s="10" t="s">
        <v>122</v>
      </c>
      <c r="AP91" s="10" t="s">
        <v>122</v>
      </c>
      <c r="AQ91" s="10"/>
      <c r="AR91" s="10"/>
      <c r="AS91" s="10"/>
      <c r="AT91" s="10"/>
      <c r="AU91" s="10"/>
      <c r="AV91" s="10"/>
      <c r="AW91" s="10"/>
      <c r="AX91" s="10"/>
      <c r="AY91" s="10"/>
      <c r="AZ91" s="11"/>
      <c r="BA91" s="11"/>
      <c r="BB91" s="10"/>
      <c r="BC91" s="10"/>
      <c r="BD91" s="10"/>
      <c r="BE91" s="10"/>
      <c r="BF91" s="10"/>
      <c r="BG91" s="10"/>
      <c r="BH91" s="10"/>
      <c r="BI91" s="10">
        <v>0</v>
      </c>
      <c r="BJ91" s="10">
        <v>0</v>
      </c>
      <c r="BK91" s="10">
        <v>0</v>
      </c>
      <c r="BL91" s="10">
        <v>0</v>
      </c>
      <c r="BM91" s="10">
        <v>0</v>
      </c>
      <c r="BN91" s="10">
        <v>0</v>
      </c>
      <c r="BO91" s="10">
        <v>0</v>
      </c>
      <c r="BP91" s="10"/>
      <c r="BQ91" s="10"/>
      <c r="BR91" s="10"/>
      <c r="BS91" s="10"/>
      <c r="BT91" s="28"/>
    </row>
    <row r="92" spans="1:72" ht="17.25" customHeight="1" x14ac:dyDescent="0.3">
      <c r="A92" s="65"/>
      <c r="B92" s="41" t="s">
        <v>89</v>
      </c>
      <c r="C92" s="8" t="s">
        <v>90</v>
      </c>
      <c r="D92" s="8">
        <v>418</v>
      </c>
      <c r="E92" s="9">
        <v>1</v>
      </c>
      <c r="F92" s="9">
        <v>1</v>
      </c>
      <c r="G92" s="9">
        <v>1</v>
      </c>
      <c r="H92" s="9">
        <v>1</v>
      </c>
      <c r="I92" s="9">
        <v>1</v>
      </c>
      <c r="J92" s="10" t="s">
        <v>122</v>
      </c>
      <c r="K92" s="10"/>
      <c r="L92" s="10"/>
      <c r="M92" s="10"/>
      <c r="N92" s="10" t="s">
        <v>122</v>
      </c>
      <c r="O92" s="10"/>
      <c r="P92" s="10"/>
      <c r="Q92" s="9"/>
      <c r="R92" s="10"/>
      <c r="S92" s="10" t="s">
        <v>122</v>
      </c>
      <c r="T92" s="10">
        <v>0</v>
      </c>
      <c r="U92" s="10" t="s">
        <v>122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9">
        <v>0</v>
      </c>
      <c r="AE92" s="9">
        <v>0</v>
      </c>
      <c r="AF92" s="18">
        <v>0</v>
      </c>
      <c r="AG92" s="18">
        <v>0</v>
      </c>
      <c r="AH92" s="18">
        <v>0</v>
      </c>
      <c r="AI92" s="10" t="s">
        <v>122</v>
      </c>
      <c r="AJ92" s="10" t="s">
        <v>122</v>
      </c>
      <c r="AK92" s="10" t="s">
        <v>122</v>
      </c>
      <c r="AL92" s="9">
        <v>0</v>
      </c>
      <c r="AM92" s="9">
        <v>0</v>
      </c>
      <c r="AN92" s="34"/>
      <c r="AO92" s="10" t="s">
        <v>122</v>
      </c>
      <c r="AP92" s="10" t="s">
        <v>122</v>
      </c>
      <c r="AQ92" s="10"/>
      <c r="AR92" s="10"/>
      <c r="AS92" s="10"/>
      <c r="AT92" s="10"/>
      <c r="AU92" s="10"/>
      <c r="AV92" s="10"/>
      <c r="AW92" s="10"/>
      <c r="AX92" s="10"/>
      <c r="AY92" s="10"/>
      <c r="AZ92" s="11"/>
      <c r="BA92" s="11"/>
      <c r="BB92" s="10"/>
      <c r="BC92" s="10"/>
      <c r="BD92" s="10"/>
      <c r="BE92" s="10"/>
      <c r="BF92" s="10"/>
      <c r="BG92" s="10"/>
      <c r="BH92" s="10"/>
      <c r="BI92" s="10">
        <v>0</v>
      </c>
      <c r="BJ92" s="10">
        <v>0</v>
      </c>
      <c r="BK92" s="10">
        <v>0</v>
      </c>
      <c r="BL92" s="10">
        <v>0</v>
      </c>
      <c r="BM92" s="10">
        <v>0</v>
      </c>
      <c r="BN92" s="10">
        <v>0</v>
      </c>
      <c r="BO92" s="10">
        <v>0</v>
      </c>
      <c r="BP92" s="10"/>
      <c r="BQ92" s="10"/>
      <c r="BR92" s="10"/>
      <c r="BS92" s="10"/>
      <c r="BT92" s="28"/>
    </row>
    <row r="93" spans="1:72" ht="17.25" customHeight="1" x14ac:dyDescent="0.3">
      <c r="A93" s="65"/>
      <c r="B93" s="41" t="s">
        <v>89</v>
      </c>
      <c r="C93" s="8" t="s">
        <v>90</v>
      </c>
      <c r="D93" s="8">
        <v>419</v>
      </c>
      <c r="E93" s="9">
        <v>1</v>
      </c>
      <c r="F93" s="9">
        <v>1</v>
      </c>
      <c r="G93" s="9">
        <v>1</v>
      </c>
      <c r="H93" s="9">
        <v>1</v>
      </c>
      <c r="I93" s="9">
        <v>1</v>
      </c>
      <c r="J93" s="10" t="s">
        <v>122</v>
      </c>
      <c r="K93" s="10"/>
      <c r="L93" s="10"/>
      <c r="M93" s="10"/>
      <c r="N93" s="10" t="s">
        <v>122</v>
      </c>
      <c r="O93" s="10"/>
      <c r="P93" s="10"/>
      <c r="Q93" s="9"/>
      <c r="R93" s="10"/>
      <c r="S93" s="10" t="s">
        <v>122</v>
      </c>
      <c r="T93" s="10">
        <v>0</v>
      </c>
      <c r="U93" s="10" t="s">
        <v>122</v>
      </c>
      <c r="V93" s="9">
        <v>0</v>
      </c>
      <c r="W93" s="9">
        <v>0</v>
      </c>
      <c r="X93" s="9">
        <v>0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9">
        <v>0</v>
      </c>
      <c r="AE93" s="9">
        <v>0</v>
      </c>
      <c r="AF93" s="18">
        <v>0</v>
      </c>
      <c r="AG93" s="18">
        <v>0</v>
      </c>
      <c r="AH93" s="18">
        <v>0</v>
      </c>
      <c r="AI93" s="10" t="s">
        <v>122</v>
      </c>
      <c r="AJ93" s="10" t="s">
        <v>122</v>
      </c>
      <c r="AK93" s="10" t="s">
        <v>122</v>
      </c>
      <c r="AL93" s="9">
        <v>0</v>
      </c>
      <c r="AM93" s="9">
        <v>0</v>
      </c>
      <c r="AN93" s="34"/>
      <c r="AO93" s="10" t="s">
        <v>122</v>
      </c>
      <c r="AP93" s="10" t="s">
        <v>122</v>
      </c>
      <c r="AQ93" s="10"/>
      <c r="AR93" s="10"/>
      <c r="AS93" s="10"/>
      <c r="AT93" s="10"/>
      <c r="AU93" s="10"/>
      <c r="AV93" s="10"/>
      <c r="AW93" s="10"/>
      <c r="AX93" s="10"/>
      <c r="AY93" s="10"/>
      <c r="AZ93" s="11"/>
      <c r="BA93" s="11"/>
      <c r="BB93" s="10"/>
      <c r="BC93" s="10"/>
      <c r="BD93" s="10"/>
      <c r="BE93" s="10"/>
      <c r="BF93" s="10"/>
      <c r="BG93" s="10"/>
      <c r="BH93" s="10"/>
      <c r="BI93" s="10">
        <v>0</v>
      </c>
      <c r="BJ93" s="10">
        <v>0</v>
      </c>
      <c r="BK93" s="10">
        <v>0</v>
      </c>
      <c r="BL93" s="10">
        <v>0</v>
      </c>
      <c r="BM93" s="10">
        <v>0</v>
      </c>
      <c r="BN93" s="10">
        <v>0</v>
      </c>
      <c r="BO93" s="10">
        <v>0</v>
      </c>
      <c r="BP93" s="10"/>
      <c r="BQ93" s="10"/>
      <c r="BR93" s="10"/>
      <c r="BS93" s="10"/>
      <c r="BT93" s="28"/>
    </row>
    <row r="94" spans="1:72" ht="17.25" customHeight="1" x14ac:dyDescent="0.3">
      <c r="A94" s="65"/>
      <c r="B94" s="41" t="s">
        <v>89</v>
      </c>
      <c r="C94" s="8" t="s">
        <v>90</v>
      </c>
      <c r="D94" s="8">
        <v>420</v>
      </c>
      <c r="E94" s="9">
        <v>1</v>
      </c>
      <c r="F94" s="9">
        <v>1</v>
      </c>
      <c r="G94" s="9">
        <v>1</v>
      </c>
      <c r="H94" s="9">
        <v>1</v>
      </c>
      <c r="I94" s="9">
        <v>1</v>
      </c>
      <c r="J94" s="10" t="s">
        <v>122</v>
      </c>
      <c r="K94" s="10"/>
      <c r="L94" s="10"/>
      <c r="M94" s="10"/>
      <c r="N94" s="10" t="s">
        <v>122</v>
      </c>
      <c r="O94" s="10"/>
      <c r="P94" s="10"/>
      <c r="Q94" s="9"/>
      <c r="R94" s="10"/>
      <c r="S94" s="10" t="s">
        <v>122</v>
      </c>
      <c r="T94" s="10">
        <v>0</v>
      </c>
      <c r="U94" s="10" t="s">
        <v>122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</v>
      </c>
      <c r="AB94" s="9">
        <v>0</v>
      </c>
      <c r="AC94" s="9">
        <v>0</v>
      </c>
      <c r="AD94" s="9">
        <v>0</v>
      </c>
      <c r="AE94" s="9">
        <v>0</v>
      </c>
      <c r="AF94" s="18">
        <v>0</v>
      </c>
      <c r="AG94" s="18">
        <v>0</v>
      </c>
      <c r="AH94" s="18">
        <v>0</v>
      </c>
      <c r="AI94" s="10" t="s">
        <v>122</v>
      </c>
      <c r="AJ94" s="10" t="s">
        <v>122</v>
      </c>
      <c r="AK94" s="10" t="s">
        <v>122</v>
      </c>
      <c r="AL94" s="9">
        <v>0</v>
      </c>
      <c r="AM94" s="9">
        <v>0</v>
      </c>
      <c r="AN94" s="34"/>
      <c r="AO94" s="10" t="s">
        <v>122</v>
      </c>
      <c r="AP94" s="10" t="s">
        <v>122</v>
      </c>
      <c r="AQ94" s="10"/>
      <c r="AR94" s="10"/>
      <c r="AS94" s="10"/>
      <c r="AT94" s="10"/>
      <c r="AU94" s="10"/>
      <c r="AV94" s="10"/>
      <c r="AW94" s="10"/>
      <c r="AX94" s="10"/>
      <c r="AY94" s="10"/>
      <c r="AZ94" s="11"/>
      <c r="BA94" s="11"/>
      <c r="BB94" s="10"/>
      <c r="BC94" s="10"/>
      <c r="BD94" s="10"/>
      <c r="BE94" s="10"/>
      <c r="BF94" s="10"/>
      <c r="BG94" s="10"/>
      <c r="BH94" s="10"/>
      <c r="BI94" s="10">
        <v>0</v>
      </c>
      <c r="BJ94" s="10">
        <v>0</v>
      </c>
      <c r="BK94" s="10">
        <v>0</v>
      </c>
      <c r="BL94" s="10">
        <v>0</v>
      </c>
      <c r="BM94" s="10">
        <v>0</v>
      </c>
      <c r="BN94" s="10">
        <v>0</v>
      </c>
      <c r="BO94" s="10">
        <v>0</v>
      </c>
      <c r="BP94" s="10"/>
      <c r="BQ94" s="10"/>
      <c r="BR94" s="10"/>
      <c r="BS94" s="10"/>
      <c r="BT94" s="28"/>
    </row>
    <row r="95" spans="1:72" ht="17.25" customHeight="1" x14ac:dyDescent="0.3">
      <c r="A95" s="65"/>
      <c r="B95" s="41" t="s">
        <v>89</v>
      </c>
      <c r="C95" s="8" t="s">
        <v>90</v>
      </c>
      <c r="D95" s="8">
        <v>421</v>
      </c>
      <c r="E95" s="9">
        <v>1</v>
      </c>
      <c r="F95" s="9">
        <v>1</v>
      </c>
      <c r="G95" s="9">
        <v>1</v>
      </c>
      <c r="H95" s="9">
        <v>1</v>
      </c>
      <c r="I95" s="9">
        <v>1</v>
      </c>
      <c r="J95" s="10" t="s">
        <v>122</v>
      </c>
      <c r="K95" s="10"/>
      <c r="L95" s="10"/>
      <c r="M95" s="10"/>
      <c r="N95" s="10" t="s">
        <v>122</v>
      </c>
      <c r="O95" s="10"/>
      <c r="P95" s="10"/>
      <c r="Q95" s="9"/>
      <c r="R95" s="10"/>
      <c r="S95" s="10" t="s">
        <v>122</v>
      </c>
      <c r="T95" s="10">
        <v>0</v>
      </c>
      <c r="U95" s="10" t="s">
        <v>122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  <c r="AF95" s="18">
        <v>0</v>
      </c>
      <c r="AG95" s="18">
        <v>0</v>
      </c>
      <c r="AH95" s="18">
        <v>0</v>
      </c>
      <c r="AI95" s="10" t="s">
        <v>122</v>
      </c>
      <c r="AJ95" s="10" t="s">
        <v>122</v>
      </c>
      <c r="AK95" s="10" t="s">
        <v>122</v>
      </c>
      <c r="AL95" s="9">
        <v>0</v>
      </c>
      <c r="AM95" s="9">
        <v>0</v>
      </c>
      <c r="AN95" s="34"/>
      <c r="AO95" s="10" t="s">
        <v>122</v>
      </c>
      <c r="AP95" s="10" t="s">
        <v>122</v>
      </c>
      <c r="AQ95" s="10"/>
      <c r="AR95" s="10"/>
      <c r="AS95" s="10"/>
      <c r="AT95" s="10"/>
      <c r="AU95" s="10"/>
      <c r="AV95" s="10"/>
      <c r="AW95" s="10"/>
      <c r="AX95" s="10"/>
      <c r="AY95" s="10"/>
      <c r="AZ95" s="11"/>
      <c r="BA95" s="11"/>
      <c r="BB95" s="10"/>
      <c r="BC95" s="10"/>
      <c r="BD95" s="10"/>
      <c r="BE95" s="10"/>
      <c r="BF95" s="10"/>
      <c r="BG95" s="10"/>
      <c r="BH95" s="10"/>
      <c r="BI95" s="10">
        <v>0</v>
      </c>
      <c r="BJ95" s="10">
        <v>0</v>
      </c>
      <c r="BK95" s="10">
        <v>0</v>
      </c>
      <c r="BL95" s="10">
        <v>0</v>
      </c>
      <c r="BM95" s="10">
        <v>0</v>
      </c>
      <c r="BN95" s="10">
        <v>0</v>
      </c>
      <c r="BO95" s="10">
        <v>0</v>
      </c>
      <c r="BP95" s="10"/>
      <c r="BQ95" s="10"/>
      <c r="BR95" s="10"/>
      <c r="BS95" s="10"/>
      <c r="BT95" s="28"/>
    </row>
    <row r="96" spans="1:72" ht="17.25" customHeight="1" x14ac:dyDescent="0.3">
      <c r="A96" s="65"/>
      <c r="B96" s="41" t="s">
        <v>89</v>
      </c>
      <c r="C96" s="8" t="s">
        <v>90</v>
      </c>
      <c r="D96" s="8">
        <v>422</v>
      </c>
      <c r="E96" s="9">
        <v>1</v>
      </c>
      <c r="F96" s="9">
        <v>1</v>
      </c>
      <c r="G96" s="9">
        <v>1</v>
      </c>
      <c r="H96" s="9">
        <v>1</v>
      </c>
      <c r="I96" s="9">
        <v>1</v>
      </c>
      <c r="J96" s="10" t="s">
        <v>122</v>
      </c>
      <c r="K96" s="10"/>
      <c r="L96" s="10"/>
      <c r="M96" s="10"/>
      <c r="N96" s="10" t="s">
        <v>122</v>
      </c>
      <c r="O96" s="10"/>
      <c r="P96" s="10"/>
      <c r="Q96" s="9"/>
      <c r="R96" s="10"/>
      <c r="S96" s="10" t="s">
        <v>122</v>
      </c>
      <c r="T96" s="10">
        <v>0</v>
      </c>
      <c r="U96" s="10" t="s">
        <v>122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9">
        <v>0</v>
      </c>
      <c r="AE96" s="9">
        <v>0</v>
      </c>
      <c r="AF96" s="18">
        <v>0</v>
      </c>
      <c r="AG96" s="18">
        <v>0</v>
      </c>
      <c r="AH96" s="18">
        <v>0</v>
      </c>
      <c r="AI96" s="10" t="s">
        <v>122</v>
      </c>
      <c r="AJ96" s="10" t="s">
        <v>122</v>
      </c>
      <c r="AK96" s="10" t="s">
        <v>122</v>
      </c>
      <c r="AL96" s="9">
        <v>0</v>
      </c>
      <c r="AM96" s="9">
        <v>0</v>
      </c>
      <c r="AN96" s="34"/>
      <c r="AO96" s="10" t="s">
        <v>122</v>
      </c>
      <c r="AP96" s="10" t="s">
        <v>122</v>
      </c>
      <c r="AQ96" s="10"/>
      <c r="AR96" s="10"/>
      <c r="AS96" s="10"/>
      <c r="AT96" s="10"/>
      <c r="AU96" s="10"/>
      <c r="AV96" s="10"/>
      <c r="AW96" s="10"/>
      <c r="AX96" s="10"/>
      <c r="AY96" s="10"/>
      <c r="AZ96" s="11"/>
      <c r="BA96" s="11"/>
      <c r="BB96" s="10"/>
      <c r="BC96" s="10"/>
      <c r="BD96" s="10"/>
      <c r="BE96" s="10"/>
      <c r="BF96" s="10"/>
      <c r="BG96" s="10"/>
      <c r="BH96" s="10"/>
      <c r="BI96" s="10">
        <v>0</v>
      </c>
      <c r="BJ96" s="10">
        <v>0</v>
      </c>
      <c r="BK96" s="10">
        <v>0</v>
      </c>
      <c r="BL96" s="10">
        <v>0</v>
      </c>
      <c r="BM96" s="10">
        <v>0</v>
      </c>
      <c r="BN96" s="10">
        <v>0</v>
      </c>
      <c r="BO96" s="10">
        <v>0</v>
      </c>
      <c r="BP96" s="10"/>
      <c r="BQ96" s="10"/>
      <c r="BR96" s="10"/>
      <c r="BS96" s="10"/>
      <c r="BT96" s="28"/>
    </row>
    <row r="97" spans="1:72" ht="17.25" customHeight="1" x14ac:dyDescent="0.3">
      <c r="A97" s="65"/>
      <c r="B97" s="41" t="s">
        <v>89</v>
      </c>
      <c r="C97" s="8" t="s">
        <v>90</v>
      </c>
      <c r="D97" s="8">
        <v>408</v>
      </c>
      <c r="E97" s="9">
        <v>1</v>
      </c>
      <c r="F97" s="9">
        <v>1</v>
      </c>
      <c r="G97" s="9">
        <v>1</v>
      </c>
      <c r="H97" s="9">
        <v>1</v>
      </c>
      <c r="I97" s="9">
        <v>1</v>
      </c>
      <c r="J97" s="10" t="s">
        <v>122</v>
      </c>
      <c r="K97" s="10"/>
      <c r="L97" s="10"/>
      <c r="M97" s="10"/>
      <c r="N97" s="10" t="s">
        <v>122</v>
      </c>
      <c r="O97" s="10"/>
      <c r="P97" s="10"/>
      <c r="Q97" s="9"/>
      <c r="R97" s="10"/>
      <c r="S97" s="10" t="s">
        <v>122</v>
      </c>
      <c r="T97" s="10">
        <v>0</v>
      </c>
      <c r="U97" s="10" t="s">
        <v>122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9">
        <v>0</v>
      </c>
      <c r="AE97" s="9">
        <v>0</v>
      </c>
      <c r="AF97" s="18">
        <v>0</v>
      </c>
      <c r="AG97" s="18">
        <v>0</v>
      </c>
      <c r="AH97" s="18">
        <v>0</v>
      </c>
      <c r="AI97" s="10" t="s">
        <v>122</v>
      </c>
      <c r="AJ97" s="10" t="s">
        <v>122</v>
      </c>
      <c r="AK97" s="10" t="s">
        <v>122</v>
      </c>
      <c r="AL97" s="9">
        <v>0</v>
      </c>
      <c r="AM97" s="9">
        <v>0</v>
      </c>
      <c r="AN97" s="34"/>
      <c r="AO97" s="10" t="s">
        <v>122</v>
      </c>
      <c r="AP97" s="10" t="s">
        <v>122</v>
      </c>
      <c r="AQ97" s="10"/>
      <c r="AR97" s="10"/>
      <c r="AS97" s="10"/>
      <c r="AT97" s="10"/>
      <c r="AU97" s="10"/>
      <c r="AV97" s="10"/>
      <c r="AW97" s="10"/>
      <c r="AX97" s="10"/>
      <c r="AY97" s="10"/>
      <c r="AZ97" s="11"/>
      <c r="BA97" s="11"/>
      <c r="BB97" s="10"/>
      <c r="BC97" s="10"/>
      <c r="BD97" s="10"/>
      <c r="BE97" s="10"/>
      <c r="BF97" s="10"/>
      <c r="BG97" s="10"/>
      <c r="BH97" s="10"/>
      <c r="BI97" s="10">
        <v>0</v>
      </c>
      <c r="BJ97" s="10">
        <v>0</v>
      </c>
      <c r="BK97" s="10">
        <v>0</v>
      </c>
      <c r="BL97" s="10">
        <v>0</v>
      </c>
      <c r="BM97" s="10">
        <v>0</v>
      </c>
      <c r="BN97" s="10">
        <v>0</v>
      </c>
      <c r="BO97" s="10">
        <v>0</v>
      </c>
      <c r="BP97" s="10"/>
      <c r="BQ97" s="10"/>
      <c r="BR97" s="10"/>
      <c r="BS97" s="10"/>
      <c r="BT97" s="28"/>
    </row>
    <row r="98" spans="1:72" ht="17.25" customHeight="1" x14ac:dyDescent="0.3">
      <c r="A98" s="65"/>
      <c r="B98" s="41" t="s">
        <v>89</v>
      </c>
      <c r="C98" s="8" t="s">
        <v>91</v>
      </c>
      <c r="D98" s="8">
        <v>409</v>
      </c>
      <c r="E98" s="9">
        <v>1</v>
      </c>
      <c r="F98" s="9">
        <v>1</v>
      </c>
      <c r="G98" s="9">
        <v>1</v>
      </c>
      <c r="H98" s="9">
        <v>1</v>
      </c>
      <c r="I98" s="9">
        <v>1</v>
      </c>
      <c r="J98" s="10" t="s">
        <v>122</v>
      </c>
      <c r="K98" s="10"/>
      <c r="L98" s="10"/>
      <c r="M98" s="10"/>
      <c r="N98" s="10" t="s">
        <v>122</v>
      </c>
      <c r="O98" s="10"/>
      <c r="P98" s="10"/>
      <c r="Q98" s="9"/>
      <c r="R98" s="10"/>
      <c r="S98" s="10" t="s">
        <v>122</v>
      </c>
      <c r="T98" s="10">
        <v>0</v>
      </c>
      <c r="U98" s="10" t="s">
        <v>122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9">
        <v>0</v>
      </c>
      <c r="AC98" s="9">
        <v>0</v>
      </c>
      <c r="AD98" s="9">
        <v>0</v>
      </c>
      <c r="AE98" s="9">
        <v>0</v>
      </c>
      <c r="AF98" s="18">
        <v>0</v>
      </c>
      <c r="AG98" s="18">
        <v>0</v>
      </c>
      <c r="AH98" s="18">
        <v>0</v>
      </c>
      <c r="AI98" s="10" t="s">
        <v>122</v>
      </c>
      <c r="AJ98" s="10" t="s">
        <v>122</v>
      </c>
      <c r="AK98" s="10" t="s">
        <v>122</v>
      </c>
      <c r="AL98" s="9">
        <v>0</v>
      </c>
      <c r="AM98" s="9">
        <v>0</v>
      </c>
      <c r="AN98" s="34"/>
      <c r="AO98" s="10" t="s">
        <v>122</v>
      </c>
      <c r="AP98" s="10" t="s">
        <v>122</v>
      </c>
      <c r="AQ98" s="10"/>
      <c r="AR98" s="10"/>
      <c r="AS98" s="10"/>
      <c r="AT98" s="10"/>
      <c r="AU98" s="10"/>
      <c r="AV98" s="10"/>
      <c r="AW98" s="10"/>
      <c r="AX98" s="10"/>
      <c r="AY98" s="10"/>
      <c r="AZ98" s="11"/>
      <c r="BA98" s="11"/>
      <c r="BB98" s="10"/>
      <c r="BC98" s="10"/>
      <c r="BD98" s="10"/>
      <c r="BE98" s="10"/>
      <c r="BF98" s="10"/>
      <c r="BG98" s="10"/>
      <c r="BH98" s="10"/>
      <c r="BI98" s="10">
        <v>0</v>
      </c>
      <c r="BJ98" s="10">
        <v>0</v>
      </c>
      <c r="BK98" s="10">
        <v>0</v>
      </c>
      <c r="BL98" s="10">
        <v>0</v>
      </c>
      <c r="BM98" s="10">
        <v>0</v>
      </c>
      <c r="BN98" s="10">
        <v>0</v>
      </c>
      <c r="BO98" s="10">
        <v>0</v>
      </c>
      <c r="BP98" s="10"/>
      <c r="BQ98" s="10"/>
      <c r="BR98" s="10"/>
      <c r="BS98" s="10"/>
      <c r="BT98" s="28"/>
    </row>
    <row r="99" spans="1:72" ht="17.25" customHeight="1" x14ac:dyDescent="0.3">
      <c r="A99" s="65"/>
      <c r="B99" s="41" t="s">
        <v>89</v>
      </c>
      <c r="C99" s="8" t="s">
        <v>91</v>
      </c>
      <c r="D99" s="8">
        <v>410</v>
      </c>
      <c r="E99" s="9">
        <v>1</v>
      </c>
      <c r="F99" s="9">
        <v>1</v>
      </c>
      <c r="G99" s="9">
        <v>1</v>
      </c>
      <c r="H99" s="9">
        <v>1</v>
      </c>
      <c r="I99" s="9">
        <v>1</v>
      </c>
      <c r="J99" s="10" t="s">
        <v>122</v>
      </c>
      <c r="K99" s="10"/>
      <c r="L99" s="10"/>
      <c r="M99" s="10"/>
      <c r="N99" s="10" t="s">
        <v>122</v>
      </c>
      <c r="O99" s="10"/>
      <c r="P99" s="10"/>
      <c r="Q99" s="9"/>
      <c r="R99" s="10"/>
      <c r="S99" s="10" t="s">
        <v>122</v>
      </c>
      <c r="T99" s="10">
        <v>0</v>
      </c>
      <c r="U99" s="10" t="s">
        <v>122</v>
      </c>
      <c r="V99" s="9">
        <v>0</v>
      </c>
      <c r="W99" s="9">
        <v>0</v>
      </c>
      <c r="X99" s="9">
        <v>0</v>
      </c>
      <c r="Y99" s="9">
        <v>0</v>
      </c>
      <c r="Z99" s="9">
        <v>0</v>
      </c>
      <c r="AA99" s="9">
        <v>0</v>
      </c>
      <c r="AB99" s="9">
        <v>0</v>
      </c>
      <c r="AC99" s="9">
        <v>0</v>
      </c>
      <c r="AD99" s="9">
        <v>0</v>
      </c>
      <c r="AE99" s="9">
        <v>0</v>
      </c>
      <c r="AF99" s="18">
        <v>0</v>
      </c>
      <c r="AG99" s="18">
        <v>0</v>
      </c>
      <c r="AH99" s="18">
        <v>0</v>
      </c>
      <c r="AI99" s="10" t="s">
        <v>122</v>
      </c>
      <c r="AJ99" s="10" t="s">
        <v>122</v>
      </c>
      <c r="AK99" s="10" t="s">
        <v>122</v>
      </c>
      <c r="AL99" s="9">
        <v>0</v>
      </c>
      <c r="AM99" s="9">
        <v>0</v>
      </c>
      <c r="AN99" s="34"/>
      <c r="AO99" s="10" t="s">
        <v>122</v>
      </c>
      <c r="AP99" s="10" t="s">
        <v>122</v>
      </c>
      <c r="AQ99" s="10"/>
      <c r="AR99" s="10"/>
      <c r="AS99" s="10"/>
      <c r="AT99" s="10"/>
      <c r="AU99" s="10"/>
      <c r="AV99" s="10"/>
      <c r="AW99" s="10"/>
      <c r="AX99" s="10"/>
      <c r="AY99" s="10"/>
      <c r="AZ99" s="11"/>
      <c r="BA99" s="11"/>
      <c r="BB99" s="10"/>
      <c r="BC99" s="10"/>
      <c r="BD99" s="10"/>
      <c r="BE99" s="10"/>
      <c r="BF99" s="10"/>
      <c r="BG99" s="10"/>
      <c r="BH99" s="10"/>
      <c r="BI99" s="10">
        <v>0</v>
      </c>
      <c r="BJ99" s="10">
        <v>0</v>
      </c>
      <c r="BK99" s="10">
        <v>0</v>
      </c>
      <c r="BL99" s="10">
        <v>0</v>
      </c>
      <c r="BM99" s="10">
        <v>0</v>
      </c>
      <c r="BN99" s="10">
        <v>0</v>
      </c>
      <c r="BO99" s="10">
        <v>0</v>
      </c>
      <c r="BP99" s="10"/>
      <c r="BQ99" s="10"/>
      <c r="BR99" s="10"/>
      <c r="BS99" s="10"/>
      <c r="BT99" s="28"/>
    </row>
    <row r="100" spans="1:72" ht="17.25" customHeight="1" x14ac:dyDescent="0.3">
      <c r="A100" s="65"/>
      <c r="B100" s="41" t="s">
        <v>89</v>
      </c>
      <c r="C100" s="8" t="s">
        <v>90</v>
      </c>
      <c r="D100" s="8">
        <v>411</v>
      </c>
      <c r="E100" s="9">
        <v>1</v>
      </c>
      <c r="F100" s="9">
        <v>1</v>
      </c>
      <c r="G100" s="9">
        <v>1</v>
      </c>
      <c r="H100" s="9">
        <v>1</v>
      </c>
      <c r="I100" s="9">
        <v>1</v>
      </c>
      <c r="J100" s="10" t="s">
        <v>122</v>
      </c>
      <c r="K100" s="10"/>
      <c r="L100" s="10"/>
      <c r="M100" s="10"/>
      <c r="N100" s="10" t="s">
        <v>122</v>
      </c>
      <c r="O100" s="10"/>
      <c r="P100" s="10"/>
      <c r="Q100" s="9"/>
      <c r="R100" s="10"/>
      <c r="S100" s="10" t="s">
        <v>122</v>
      </c>
      <c r="T100" s="10">
        <v>0</v>
      </c>
      <c r="U100" s="10" t="s">
        <v>122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9">
        <v>0</v>
      </c>
      <c r="AC100" s="9">
        <v>0</v>
      </c>
      <c r="AD100" s="9">
        <v>0</v>
      </c>
      <c r="AE100" s="9">
        <v>0</v>
      </c>
      <c r="AF100" s="18">
        <v>0</v>
      </c>
      <c r="AG100" s="18">
        <v>0</v>
      </c>
      <c r="AH100" s="18">
        <v>0</v>
      </c>
      <c r="AI100" s="10" t="s">
        <v>122</v>
      </c>
      <c r="AJ100" s="10" t="s">
        <v>122</v>
      </c>
      <c r="AK100" s="10" t="s">
        <v>122</v>
      </c>
      <c r="AL100" s="9">
        <v>0</v>
      </c>
      <c r="AM100" s="9">
        <v>0</v>
      </c>
      <c r="AN100" s="34"/>
      <c r="AO100" s="10" t="s">
        <v>122</v>
      </c>
      <c r="AP100" s="10" t="s">
        <v>122</v>
      </c>
      <c r="AQ100" s="10"/>
      <c r="AR100" s="10"/>
      <c r="AS100" s="10"/>
      <c r="AT100" s="10"/>
      <c r="AU100" s="10"/>
      <c r="AV100" s="10"/>
      <c r="AW100" s="10"/>
      <c r="AX100" s="10"/>
      <c r="AY100" s="10"/>
      <c r="AZ100" s="11"/>
      <c r="BA100" s="11"/>
      <c r="BB100" s="10"/>
      <c r="BC100" s="10"/>
      <c r="BD100" s="10"/>
      <c r="BE100" s="10"/>
      <c r="BF100" s="10"/>
      <c r="BG100" s="10"/>
      <c r="BH100" s="10"/>
      <c r="BI100" s="10">
        <v>0</v>
      </c>
      <c r="BJ100" s="10">
        <v>0</v>
      </c>
      <c r="BK100" s="10">
        <v>0</v>
      </c>
      <c r="BL100" s="10">
        <v>0</v>
      </c>
      <c r="BM100" s="10">
        <v>0</v>
      </c>
      <c r="BN100" s="10">
        <v>0</v>
      </c>
      <c r="BO100" s="10">
        <v>0</v>
      </c>
      <c r="BP100" s="10"/>
      <c r="BQ100" s="10"/>
      <c r="BR100" s="10"/>
      <c r="BS100" s="10"/>
      <c r="BT100" s="28"/>
    </row>
    <row r="101" spans="1:72" ht="17.25" customHeight="1" x14ac:dyDescent="0.3">
      <c r="A101" s="65"/>
      <c r="B101" s="41" t="s">
        <v>89</v>
      </c>
      <c r="C101" s="8" t="s">
        <v>91</v>
      </c>
      <c r="D101" s="8">
        <v>412</v>
      </c>
      <c r="E101" s="9">
        <v>1</v>
      </c>
      <c r="F101" s="9">
        <v>1</v>
      </c>
      <c r="G101" s="9">
        <v>1</v>
      </c>
      <c r="H101" s="9">
        <v>1</v>
      </c>
      <c r="I101" s="9">
        <v>1</v>
      </c>
      <c r="J101" s="10" t="s">
        <v>122</v>
      </c>
      <c r="K101" s="10"/>
      <c r="L101" s="10"/>
      <c r="M101" s="10"/>
      <c r="N101" s="10" t="s">
        <v>122</v>
      </c>
      <c r="O101" s="10"/>
      <c r="P101" s="10"/>
      <c r="Q101" s="9"/>
      <c r="R101" s="10"/>
      <c r="S101" s="10" t="s">
        <v>122</v>
      </c>
      <c r="T101" s="10">
        <v>0</v>
      </c>
      <c r="U101" s="10" t="s">
        <v>122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0</v>
      </c>
      <c r="AB101" s="9">
        <v>0</v>
      </c>
      <c r="AC101" s="9">
        <v>0</v>
      </c>
      <c r="AD101" s="9">
        <v>0</v>
      </c>
      <c r="AE101" s="9">
        <v>0</v>
      </c>
      <c r="AF101" s="18">
        <v>0</v>
      </c>
      <c r="AG101" s="18">
        <v>0</v>
      </c>
      <c r="AH101" s="18">
        <v>0</v>
      </c>
      <c r="AI101" s="10" t="s">
        <v>122</v>
      </c>
      <c r="AJ101" s="10" t="s">
        <v>122</v>
      </c>
      <c r="AK101" s="10" t="s">
        <v>122</v>
      </c>
      <c r="AL101" s="9">
        <v>0</v>
      </c>
      <c r="AM101" s="9">
        <v>0</v>
      </c>
      <c r="AN101" s="34"/>
      <c r="AO101" s="10" t="s">
        <v>122</v>
      </c>
      <c r="AP101" s="10" t="s">
        <v>122</v>
      </c>
      <c r="AQ101" s="10"/>
      <c r="AR101" s="10"/>
      <c r="AS101" s="10"/>
      <c r="AT101" s="10"/>
      <c r="AU101" s="10"/>
      <c r="AV101" s="10"/>
      <c r="AW101" s="10"/>
      <c r="AX101" s="10"/>
      <c r="AY101" s="10"/>
      <c r="AZ101" s="11"/>
      <c r="BA101" s="11"/>
      <c r="BB101" s="10"/>
      <c r="BC101" s="10"/>
      <c r="BD101" s="10"/>
      <c r="BE101" s="10"/>
      <c r="BF101" s="10"/>
      <c r="BG101" s="10"/>
      <c r="BH101" s="10"/>
      <c r="BI101" s="10">
        <v>0</v>
      </c>
      <c r="BJ101" s="10">
        <v>0</v>
      </c>
      <c r="BK101" s="10">
        <v>0</v>
      </c>
      <c r="BL101" s="10">
        <v>0</v>
      </c>
      <c r="BM101" s="10">
        <v>0</v>
      </c>
      <c r="BN101" s="10">
        <v>0</v>
      </c>
      <c r="BO101" s="10">
        <v>0</v>
      </c>
      <c r="BP101" s="10"/>
      <c r="BQ101" s="10"/>
      <c r="BR101" s="10"/>
      <c r="BS101" s="10"/>
      <c r="BT101" s="28"/>
    </row>
    <row r="102" spans="1:72" ht="17.25" customHeight="1" x14ac:dyDescent="0.3">
      <c r="A102" s="65"/>
      <c r="B102" s="41" t="s">
        <v>89</v>
      </c>
      <c r="C102" s="8" t="s">
        <v>90</v>
      </c>
      <c r="D102" s="8">
        <v>413</v>
      </c>
      <c r="E102" s="9">
        <v>1</v>
      </c>
      <c r="F102" s="9">
        <v>1</v>
      </c>
      <c r="G102" s="9">
        <v>1</v>
      </c>
      <c r="H102" s="9">
        <v>1</v>
      </c>
      <c r="I102" s="9">
        <v>1</v>
      </c>
      <c r="J102" s="10" t="s">
        <v>122</v>
      </c>
      <c r="K102" s="10"/>
      <c r="L102" s="10"/>
      <c r="M102" s="10"/>
      <c r="N102" s="10" t="s">
        <v>122</v>
      </c>
      <c r="O102" s="10"/>
      <c r="P102" s="10"/>
      <c r="Q102" s="9"/>
      <c r="R102" s="10"/>
      <c r="S102" s="10" t="s">
        <v>122</v>
      </c>
      <c r="T102" s="10">
        <v>0</v>
      </c>
      <c r="U102" s="10" t="s">
        <v>122</v>
      </c>
      <c r="V102" s="9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0</v>
      </c>
      <c r="AB102" s="9">
        <v>0</v>
      </c>
      <c r="AC102" s="9">
        <v>0</v>
      </c>
      <c r="AD102" s="9">
        <v>0</v>
      </c>
      <c r="AE102" s="9">
        <v>0</v>
      </c>
      <c r="AF102" s="18">
        <v>0</v>
      </c>
      <c r="AG102" s="18">
        <v>0</v>
      </c>
      <c r="AH102" s="18">
        <v>0</v>
      </c>
      <c r="AI102" s="10" t="s">
        <v>122</v>
      </c>
      <c r="AJ102" s="10" t="s">
        <v>122</v>
      </c>
      <c r="AK102" s="10" t="s">
        <v>122</v>
      </c>
      <c r="AL102" s="9">
        <v>0</v>
      </c>
      <c r="AM102" s="9">
        <v>0</v>
      </c>
      <c r="AN102" s="34"/>
      <c r="AO102" s="10" t="s">
        <v>122</v>
      </c>
      <c r="AP102" s="10" t="s">
        <v>122</v>
      </c>
      <c r="AQ102" s="10"/>
      <c r="AR102" s="10"/>
      <c r="AS102" s="10"/>
      <c r="AT102" s="10"/>
      <c r="AU102" s="10"/>
      <c r="AV102" s="10"/>
      <c r="AW102" s="10"/>
      <c r="AX102" s="10"/>
      <c r="AY102" s="10"/>
      <c r="AZ102" s="11"/>
      <c r="BA102" s="11"/>
      <c r="BB102" s="10"/>
      <c r="BC102" s="10"/>
      <c r="BD102" s="10"/>
      <c r="BE102" s="10"/>
      <c r="BF102" s="10"/>
      <c r="BG102" s="10"/>
      <c r="BH102" s="10"/>
      <c r="BI102" s="10">
        <v>0</v>
      </c>
      <c r="BJ102" s="10">
        <v>0</v>
      </c>
      <c r="BK102" s="10">
        <v>0</v>
      </c>
      <c r="BL102" s="10">
        <v>0</v>
      </c>
      <c r="BM102" s="10">
        <v>0</v>
      </c>
      <c r="BN102" s="10">
        <v>0</v>
      </c>
      <c r="BO102" s="10">
        <v>0</v>
      </c>
      <c r="BP102" s="10"/>
      <c r="BQ102" s="10"/>
      <c r="BR102" s="10"/>
      <c r="BS102" s="10"/>
      <c r="BT102" s="28"/>
    </row>
    <row r="103" spans="1:72" ht="17.25" customHeight="1" x14ac:dyDescent="0.3">
      <c r="A103" s="65"/>
      <c r="B103" s="41" t="s">
        <v>89</v>
      </c>
      <c r="C103" s="8" t="s">
        <v>93</v>
      </c>
      <c r="D103" s="8">
        <v>414</v>
      </c>
      <c r="E103" s="9">
        <v>1</v>
      </c>
      <c r="F103" s="9">
        <v>1</v>
      </c>
      <c r="G103" s="9">
        <v>1</v>
      </c>
      <c r="H103" s="9">
        <v>1</v>
      </c>
      <c r="I103" s="9">
        <v>1</v>
      </c>
      <c r="J103" s="10" t="s">
        <v>122</v>
      </c>
      <c r="K103" s="10"/>
      <c r="L103" s="10"/>
      <c r="M103" s="10"/>
      <c r="N103" s="10" t="s">
        <v>122</v>
      </c>
      <c r="O103" s="10"/>
      <c r="P103" s="10"/>
      <c r="Q103" s="9"/>
      <c r="R103" s="10"/>
      <c r="S103" s="10" t="s">
        <v>122</v>
      </c>
      <c r="T103" s="10">
        <v>0</v>
      </c>
      <c r="U103" s="10" t="s">
        <v>122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9">
        <v>0</v>
      </c>
      <c r="AC103" s="9">
        <v>0</v>
      </c>
      <c r="AD103" s="9">
        <v>0</v>
      </c>
      <c r="AE103" s="9">
        <v>0</v>
      </c>
      <c r="AF103" s="18">
        <v>0</v>
      </c>
      <c r="AG103" s="18">
        <v>0</v>
      </c>
      <c r="AH103" s="18">
        <v>0</v>
      </c>
      <c r="AI103" s="10" t="s">
        <v>122</v>
      </c>
      <c r="AJ103" s="10" t="s">
        <v>122</v>
      </c>
      <c r="AK103" s="10" t="s">
        <v>122</v>
      </c>
      <c r="AL103" s="9">
        <v>0</v>
      </c>
      <c r="AM103" s="9">
        <v>0</v>
      </c>
      <c r="AN103" s="34"/>
      <c r="AO103" s="10" t="s">
        <v>122</v>
      </c>
      <c r="AP103" s="10" t="s">
        <v>122</v>
      </c>
      <c r="AQ103" s="10"/>
      <c r="AR103" s="10"/>
      <c r="AS103" s="10"/>
      <c r="AT103" s="10"/>
      <c r="AU103" s="10"/>
      <c r="AV103" s="10"/>
      <c r="AW103" s="10"/>
      <c r="AX103" s="10"/>
      <c r="AY103" s="10"/>
      <c r="AZ103" s="11"/>
      <c r="BA103" s="11"/>
      <c r="BB103" s="10"/>
      <c r="BC103" s="10"/>
      <c r="BD103" s="10"/>
      <c r="BE103" s="10"/>
      <c r="BF103" s="10"/>
      <c r="BG103" s="10"/>
      <c r="BH103" s="10"/>
      <c r="BI103" s="10">
        <v>0</v>
      </c>
      <c r="BJ103" s="10">
        <v>0</v>
      </c>
      <c r="BK103" s="10">
        <v>0</v>
      </c>
      <c r="BL103" s="10">
        <v>0</v>
      </c>
      <c r="BM103" s="10">
        <v>0</v>
      </c>
      <c r="BN103" s="10">
        <v>0</v>
      </c>
      <c r="BO103" s="10">
        <v>0</v>
      </c>
      <c r="BP103" s="10"/>
      <c r="BQ103" s="10"/>
      <c r="BR103" s="10"/>
      <c r="BS103" s="10"/>
      <c r="BT103" s="28"/>
    </row>
    <row r="104" spans="1:72" ht="17.25" customHeight="1" x14ac:dyDescent="0.3">
      <c r="A104" s="65"/>
      <c r="B104" s="41" t="s">
        <v>89</v>
      </c>
      <c r="C104" s="8" t="s">
        <v>90</v>
      </c>
      <c r="D104" s="8">
        <v>415</v>
      </c>
      <c r="E104" s="9">
        <v>1</v>
      </c>
      <c r="F104" s="9">
        <v>1</v>
      </c>
      <c r="G104" s="9">
        <v>1</v>
      </c>
      <c r="H104" s="9">
        <v>1</v>
      </c>
      <c r="I104" s="9">
        <v>1</v>
      </c>
      <c r="J104" s="10" t="s">
        <v>122</v>
      </c>
      <c r="K104" s="10"/>
      <c r="L104" s="10"/>
      <c r="M104" s="10"/>
      <c r="N104" s="10" t="s">
        <v>122</v>
      </c>
      <c r="O104" s="10"/>
      <c r="P104" s="10"/>
      <c r="Q104" s="9"/>
      <c r="R104" s="10"/>
      <c r="S104" s="10" t="s">
        <v>122</v>
      </c>
      <c r="T104" s="10">
        <v>0</v>
      </c>
      <c r="U104" s="10" t="s">
        <v>122</v>
      </c>
      <c r="V104" s="9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0</v>
      </c>
      <c r="AB104" s="9">
        <v>0</v>
      </c>
      <c r="AC104" s="9">
        <v>0</v>
      </c>
      <c r="AD104" s="9">
        <v>0</v>
      </c>
      <c r="AE104" s="9">
        <v>0</v>
      </c>
      <c r="AF104" s="18">
        <v>0</v>
      </c>
      <c r="AG104" s="18">
        <v>0</v>
      </c>
      <c r="AH104" s="18">
        <v>0</v>
      </c>
      <c r="AI104" s="10" t="s">
        <v>122</v>
      </c>
      <c r="AJ104" s="10" t="s">
        <v>122</v>
      </c>
      <c r="AK104" s="10" t="s">
        <v>122</v>
      </c>
      <c r="AL104" s="9">
        <v>0</v>
      </c>
      <c r="AM104" s="9">
        <v>0</v>
      </c>
      <c r="AN104" s="34"/>
      <c r="AO104" s="10" t="s">
        <v>122</v>
      </c>
      <c r="AP104" s="10" t="s">
        <v>122</v>
      </c>
      <c r="AQ104" s="10"/>
      <c r="AR104" s="10"/>
      <c r="AS104" s="10"/>
      <c r="AT104" s="10"/>
      <c r="AU104" s="10"/>
      <c r="AV104" s="10"/>
      <c r="AW104" s="10"/>
      <c r="AX104" s="10"/>
      <c r="AY104" s="10"/>
      <c r="AZ104" s="11"/>
      <c r="BA104" s="11"/>
      <c r="BB104" s="10"/>
      <c r="BC104" s="10"/>
      <c r="BD104" s="10"/>
      <c r="BE104" s="10"/>
      <c r="BF104" s="10"/>
      <c r="BG104" s="10"/>
      <c r="BH104" s="10"/>
      <c r="BI104" s="10">
        <v>0</v>
      </c>
      <c r="BJ104" s="10">
        <v>0</v>
      </c>
      <c r="BK104" s="10">
        <v>0</v>
      </c>
      <c r="BL104" s="10">
        <v>0</v>
      </c>
      <c r="BM104" s="10">
        <v>0</v>
      </c>
      <c r="BN104" s="10">
        <v>0</v>
      </c>
      <c r="BO104" s="10">
        <v>0</v>
      </c>
      <c r="BP104" s="10"/>
      <c r="BQ104" s="10"/>
      <c r="BR104" s="10"/>
      <c r="BS104" s="10"/>
      <c r="BT104" s="28"/>
    </row>
    <row r="105" spans="1:72" ht="17.25" customHeight="1" x14ac:dyDescent="0.3">
      <c r="A105" s="65"/>
      <c r="B105" s="41" t="s">
        <v>89</v>
      </c>
      <c r="C105" s="8" t="s">
        <v>90</v>
      </c>
      <c r="D105" s="8">
        <v>416</v>
      </c>
      <c r="E105" s="9">
        <v>1</v>
      </c>
      <c r="F105" s="9">
        <v>1</v>
      </c>
      <c r="G105" s="9">
        <v>1</v>
      </c>
      <c r="H105" s="9">
        <v>1</v>
      </c>
      <c r="I105" s="9">
        <v>1</v>
      </c>
      <c r="J105" s="10" t="s">
        <v>122</v>
      </c>
      <c r="K105" s="10"/>
      <c r="L105" s="10"/>
      <c r="M105" s="10"/>
      <c r="N105" s="10" t="s">
        <v>122</v>
      </c>
      <c r="O105" s="10"/>
      <c r="P105" s="10"/>
      <c r="Q105" s="9"/>
      <c r="R105" s="10"/>
      <c r="S105" s="10" t="s">
        <v>122</v>
      </c>
      <c r="T105" s="10">
        <v>0</v>
      </c>
      <c r="U105" s="10" t="s">
        <v>122</v>
      </c>
      <c r="V105" s="9">
        <v>0</v>
      </c>
      <c r="W105" s="9">
        <v>0</v>
      </c>
      <c r="X105" s="9">
        <v>0</v>
      </c>
      <c r="Y105" s="9">
        <v>0</v>
      </c>
      <c r="Z105" s="9">
        <v>0</v>
      </c>
      <c r="AA105" s="9">
        <v>0</v>
      </c>
      <c r="AB105" s="9">
        <v>0</v>
      </c>
      <c r="AC105" s="9">
        <v>0</v>
      </c>
      <c r="AD105" s="9">
        <v>0</v>
      </c>
      <c r="AE105" s="9">
        <v>0</v>
      </c>
      <c r="AF105" s="18">
        <v>0</v>
      </c>
      <c r="AG105" s="18">
        <v>0</v>
      </c>
      <c r="AH105" s="18">
        <v>0</v>
      </c>
      <c r="AI105" s="10" t="s">
        <v>122</v>
      </c>
      <c r="AJ105" s="10" t="s">
        <v>122</v>
      </c>
      <c r="AK105" s="10" t="s">
        <v>122</v>
      </c>
      <c r="AL105" s="9">
        <v>0</v>
      </c>
      <c r="AM105" s="9">
        <v>0</v>
      </c>
      <c r="AN105" s="34"/>
      <c r="AO105" s="10" t="s">
        <v>122</v>
      </c>
      <c r="AP105" s="10" t="s">
        <v>122</v>
      </c>
      <c r="AQ105" s="10"/>
      <c r="AR105" s="10"/>
      <c r="AS105" s="10"/>
      <c r="AT105" s="10"/>
      <c r="AU105" s="10"/>
      <c r="AV105" s="10"/>
      <c r="AW105" s="10"/>
      <c r="AX105" s="10"/>
      <c r="AY105" s="10"/>
      <c r="AZ105" s="11"/>
      <c r="BA105" s="11"/>
      <c r="BB105" s="10"/>
      <c r="BC105" s="10"/>
      <c r="BD105" s="10"/>
      <c r="BE105" s="10"/>
      <c r="BF105" s="10"/>
      <c r="BG105" s="10"/>
      <c r="BH105" s="10"/>
      <c r="BI105" s="10">
        <v>0</v>
      </c>
      <c r="BJ105" s="10">
        <v>0</v>
      </c>
      <c r="BK105" s="10">
        <v>0</v>
      </c>
      <c r="BL105" s="10">
        <v>0</v>
      </c>
      <c r="BM105" s="10">
        <v>0</v>
      </c>
      <c r="BN105" s="10">
        <v>0</v>
      </c>
      <c r="BO105" s="10">
        <v>0</v>
      </c>
      <c r="BP105" s="10"/>
      <c r="BQ105" s="10"/>
      <c r="BR105" s="10"/>
      <c r="BS105" s="10"/>
      <c r="BT105" s="28"/>
    </row>
    <row r="106" spans="1:72" ht="17.25" customHeight="1" x14ac:dyDescent="0.3">
      <c r="A106" s="65"/>
      <c r="B106" s="41" t="s">
        <v>89</v>
      </c>
      <c r="C106" s="8" t="s">
        <v>91</v>
      </c>
      <c r="D106" s="8">
        <v>417</v>
      </c>
      <c r="E106" s="9">
        <v>1</v>
      </c>
      <c r="F106" s="9">
        <v>1</v>
      </c>
      <c r="G106" s="9">
        <v>1</v>
      </c>
      <c r="H106" s="9">
        <v>1</v>
      </c>
      <c r="I106" s="9">
        <v>1</v>
      </c>
      <c r="J106" s="10" t="s">
        <v>122</v>
      </c>
      <c r="K106" s="10"/>
      <c r="L106" s="10"/>
      <c r="M106" s="10"/>
      <c r="N106" s="10" t="s">
        <v>122</v>
      </c>
      <c r="O106" s="10"/>
      <c r="P106" s="10"/>
      <c r="Q106" s="9"/>
      <c r="R106" s="10"/>
      <c r="S106" s="10" t="s">
        <v>122</v>
      </c>
      <c r="T106" s="10">
        <v>0</v>
      </c>
      <c r="U106" s="10" t="s">
        <v>122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9">
        <v>0</v>
      </c>
      <c r="AE106" s="9">
        <v>0</v>
      </c>
      <c r="AF106" s="18">
        <v>0</v>
      </c>
      <c r="AG106" s="18">
        <v>0</v>
      </c>
      <c r="AH106" s="18">
        <v>0</v>
      </c>
      <c r="AI106" s="10" t="s">
        <v>122</v>
      </c>
      <c r="AJ106" s="10" t="s">
        <v>122</v>
      </c>
      <c r="AK106" s="10" t="s">
        <v>122</v>
      </c>
      <c r="AL106" s="9">
        <v>0</v>
      </c>
      <c r="AM106" s="9">
        <v>0</v>
      </c>
      <c r="AN106" s="34"/>
      <c r="AO106" s="10" t="s">
        <v>122</v>
      </c>
      <c r="AP106" s="10" t="s">
        <v>122</v>
      </c>
      <c r="AQ106" s="10"/>
      <c r="AR106" s="10"/>
      <c r="AS106" s="10"/>
      <c r="AT106" s="10"/>
      <c r="AU106" s="10"/>
      <c r="AV106" s="10"/>
      <c r="AW106" s="10"/>
      <c r="AX106" s="10"/>
      <c r="AY106" s="10"/>
      <c r="AZ106" s="11"/>
      <c r="BA106" s="11"/>
      <c r="BB106" s="10"/>
      <c r="BC106" s="10"/>
      <c r="BD106" s="10"/>
      <c r="BE106" s="10"/>
      <c r="BF106" s="10"/>
      <c r="BG106" s="10"/>
      <c r="BH106" s="10"/>
      <c r="BI106" s="10">
        <v>0</v>
      </c>
      <c r="BJ106" s="10">
        <v>0</v>
      </c>
      <c r="BK106" s="10">
        <v>0</v>
      </c>
      <c r="BL106" s="10">
        <v>0</v>
      </c>
      <c r="BM106" s="10">
        <v>0</v>
      </c>
      <c r="BN106" s="10">
        <v>0</v>
      </c>
      <c r="BO106" s="10">
        <v>0</v>
      </c>
      <c r="BP106" s="10"/>
      <c r="BQ106" s="10"/>
      <c r="BR106" s="10"/>
      <c r="BS106" s="10"/>
      <c r="BT106" s="28"/>
    </row>
    <row r="107" spans="1:72" ht="17.25" customHeight="1" x14ac:dyDescent="0.3">
      <c r="A107" s="65"/>
      <c r="B107" s="41" t="s">
        <v>89</v>
      </c>
      <c r="C107" s="8" t="s">
        <v>90</v>
      </c>
      <c r="D107" s="8">
        <v>423</v>
      </c>
      <c r="E107" s="9">
        <v>1</v>
      </c>
      <c r="F107" s="9">
        <v>1</v>
      </c>
      <c r="G107" s="9">
        <v>1</v>
      </c>
      <c r="H107" s="9">
        <v>1</v>
      </c>
      <c r="I107" s="9">
        <v>1</v>
      </c>
      <c r="J107" s="10" t="s">
        <v>122</v>
      </c>
      <c r="K107" s="10"/>
      <c r="L107" s="10"/>
      <c r="M107" s="10"/>
      <c r="N107" s="10" t="s">
        <v>122</v>
      </c>
      <c r="O107" s="10"/>
      <c r="P107" s="10"/>
      <c r="Q107" s="9"/>
      <c r="R107" s="10"/>
      <c r="S107" s="10" t="s">
        <v>122</v>
      </c>
      <c r="T107" s="10">
        <v>0</v>
      </c>
      <c r="U107" s="10" t="s">
        <v>122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9">
        <v>0</v>
      </c>
      <c r="AC107" s="9">
        <v>0</v>
      </c>
      <c r="AD107" s="9">
        <v>0</v>
      </c>
      <c r="AE107" s="9">
        <v>0</v>
      </c>
      <c r="AF107" s="18">
        <v>0</v>
      </c>
      <c r="AG107" s="18">
        <v>0</v>
      </c>
      <c r="AH107" s="18">
        <v>0</v>
      </c>
      <c r="AI107" s="10" t="s">
        <v>122</v>
      </c>
      <c r="AJ107" s="10" t="s">
        <v>122</v>
      </c>
      <c r="AK107" s="10" t="s">
        <v>122</v>
      </c>
      <c r="AL107" s="9">
        <v>0</v>
      </c>
      <c r="AM107" s="9">
        <v>0</v>
      </c>
      <c r="AN107" s="34"/>
      <c r="AO107" s="10" t="s">
        <v>122</v>
      </c>
      <c r="AP107" s="10" t="s">
        <v>122</v>
      </c>
      <c r="AQ107" s="10"/>
      <c r="AR107" s="10"/>
      <c r="AS107" s="10"/>
      <c r="AT107" s="10"/>
      <c r="AU107" s="10"/>
      <c r="AV107" s="10"/>
      <c r="AW107" s="10"/>
      <c r="AX107" s="10"/>
      <c r="AY107" s="10"/>
      <c r="AZ107" s="11"/>
      <c r="BA107" s="11"/>
      <c r="BB107" s="10"/>
      <c r="BC107" s="10"/>
      <c r="BD107" s="10"/>
      <c r="BE107" s="10"/>
      <c r="BF107" s="10"/>
      <c r="BG107" s="10"/>
      <c r="BH107" s="10"/>
      <c r="BI107" s="10">
        <v>0</v>
      </c>
      <c r="BJ107" s="10">
        <v>0</v>
      </c>
      <c r="BK107" s="10">
        <v>0</v>
      </c>
      <c r="BL107" s="10">
        <v>0</v>
      </c>
      <c r="BM107" s="10">
        <v>0</v>
      </c>
      <c r="BN107" s="10">
        <v>0</v>
      </c>
      <c r="BO107" s="10">
        <v>0</v>
      </c>
      <c r="BP107" s="10"/>
      <c r="BQ107" s="10"/>
      <c r="BR107" s="10"/>
      <c r="BS107" s="10"/>
      <c r="BT107" s="28"/>
    </row>
    <row r="108" spans="1:72" ht="17.25" customHeight="1" thickBot="1" x14ac:dyDescent="0.35">
      <c r="A108" s="66"/>
      <c r="B108" s="41" t="s">
        <v>89</v>
      </c>
      <c r="C108" s="8" t="s">
        <v>90</v>
      </c>
      <c r="D108" s="8">
        <v>424</v>
      </c>
      <c r="E108" s="9">
        <v>1</v>
      </c>
      <c r="F108" s="9">
        <v>1</v>
      </c>
      <c r="G108" s="9">
        <v>1</v>
      </c>
      <c r="H108" s="9">
        <v>1</v>
      </c>
      <c r="I108" s="9">
        <v>1</v>
      </c>
      <c r="J108" s="10" t="s">
        <v>122</v>
      </c>
      <c r="K108" s="10"/>
      <c r="L108" s="10"/>
      <c r="M108" s="10"/>
      <c r="N108" s="10" t="s">
        <v>122</v>
      </c>
      <c r="O108" s="10"/>
      <c r="P108" s="10"/>
      <c r="Q108" s="9"/>
      <c r="R108" s="10"/>
      <c r="S108" s="10" t="s">
        <v>122</v>
      </c>
      <c r="T108" s="10">
        <v>0</v>
      </c>
      <c r="U108" s="10" t="s">
        <v>122</v>
      </c>
      <c r="V108" s="9">
        <v>0</v>
      </c>
      <c r="W108" s="9">
        <v>0</v>
      </c>
      <c r="X108" s="9">
        <v>0</v>
      </c>
      <c r="Y108" s="9">
        <v>0</v>
      </c>
      <c r="Z108" s="9">
        <v>0</v>
      </c>
      <c r="AA108" s="9">
        <v>0</v>
      </c>
      <c r="AB108" s="9">
        <v>0</v>
      </c>
      <c r="AC108" s="9">
        <v>0</v>
      </c>
      <c r="AD108" s="9">
        <v>0</v>
      </c>
      <c r="AE108" s="9">
        <v>0</v>
      </c>
      <c r="AF108" s="18">
        <v>0</v>
      </c>
      <c r="AG108" s="18">
        <v>0</v>
      </c>
      <c r="AH108" s="18">
        <v>0</v>
      </c>
      <c r="AI108" s="10" t="s">
        <v>122</v>
      </c>
      <c r="AJ108" s="10" t="s">
        <v>122</v>
      </c>
      <c r="AK108" s="10" t="s">
        <v>122</v>
      </c>
      <c r="AL108" s="9">
        <v>0</v>
      </c>
      <c r="AM108" s="9">
        <v>0</v>
      </c>
      <c r="AN108" s="34"/>
      <c r="AO108" s="10" t="s">
        <v>122</v>
      </c>
      <c r="AP108" s="10" t="s">
        <v>122</v>
      </c>
      <c r="AQ108" s="10"/>
      <c r="AR108" s="10"/>
      <c r="AS108" s="10"/>
      <c r="AT108" s="10"/>
      <c r="AU108" s="10"/>
      <c r="AV108" s="10"/>
      <c r="AW108" s="10"/>
      <c r="AX108" s="10"/>
      <c r="AY108" s="10"/>
      <c r="AZ108" s="11"/>
      <c r="BA108" s="11"/>
      <c r="BB108" s="10"/>
      <c r="BC108" s="10"/>
      <c r="BD108" s="10"/>
      <c r="BE108" s="10"/>
      <c r="BF108" s="10"/>
      <c r="BG108" s="10"/>
      <c r="BH108" s="10"/>
      <c r="BI108" s="10">
        <v>0</v>
      </c>
      <c r="BJ108" s="10">
        <v>0</v>
      </c>
      <c r="BK108" s="10">
        <v>0</v>
      </c>
      <c r="BL108" s="10">
        <v>0</v>
      </c>
      <c r="BM108" s="10">
        <v>0</v>
      </c>
      <c r="BN108" s="10">
        <v>0</v>
      </c>
      <c r="BO108" s="10">
        <v>0</v>
      </c>
      <c r="BP108" s="10"/>
      <c r="BQ108" s="10"/>
      <c r="BR108" s="10"/>
      <c r="BS108" s="10"/>
      <c r="BT108" s="28"/>
    </row>
    <row r="109" spans="1:72" ht="17.25" customHeight="1" x14ac:dyDescent="0.3">
      <c r="A109" s="69" t="s">
        <v>97</v>
      </c>
      <c r="B109" s="42" t="s">
        <v>89</v>
      </c>
      <c r="C109" s="13" t="s">
        <v>90</v>
      </c>
      <c r="D109" s="13">
        <v>501</v>
      </c>
      <c r="E109" s="9">
        <v>1</v>
      </c>
      <c r="F109" s="9">
        <v>1</v>
      </c>
      <c r="G109" s="9">
        <v>1</v>
      </c>
      <c r="H109" s="9">
        <v>1</v>
      </c>
      <c r="I109" s="9">
        <v>1</v>
      </c>
      <c r="J109" s="15" t="s">
        <v>122</v>
      </c>
      <c r="K109" s="15"/>
      <c r="L109" s="15"/>
      <c r="M109" s="15"/>
      <c r="N109" s="15" t="s">
        <v>122</v>
      </c>
      <c r="O109" s="15"/>
      <c r="P109" s="15"/>
      <c r="Q109" s="15"/>
      <c r="R109" s="15"/>
      <c r="S109" s="15" t="s">
        <v>122</v>
      </c>
      <c r="T109" s="15">
        <v>0</v>
      </c>
      <c r="U109" s="15" t="s">
        <v>122</v>
      </c>
      <c r="V109" s="9">
        <v>0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9">
        <v>0</v>
      </c>
      <c r="AC109" s="9">
        <v>0</v>
      </c>
      <c r="AD109" s="9">
        <v>0</v>
      </c>
      <c r="AE109" s="9">
        <v>0</v>
      </c>
      <c r="AF109" s="18">
        <v>0</v>
      </c>
      <c r="AG109" s="18">
        <v>0</v>
      </c>
      <c r="AH109" s="18">
        <v>0</v>
      </c>
      <c r="AI109" s="15" t="s">
        <v>122</v>
      </c>
      <c r="AJ109" s="15" t="s">
        <v>122</v>
      </c>
      <c r="AK109" s="15" t="s">
        <v>122</v>
      </c>
      <c r="AL109" s="9">
        <v>0</v>
      </c>
      <c r="AM109" s="9">
        <v>0</v>
      </c>
      <c r="AN109" s="35"/>
      <c r="AO109" s="15" t="s">
        <v>122</v>
      </c>
      <c r="AP109" s="15" t="s">
        <v>122</v>
      </c>
      <c r="AQ109" s="15"/>
      <c r="AR109" s="15"/>
      <c r="AS109" s="15"/>
      <c r="AT109" s="15"/>
      <c r="AU109" s="15"/>
      <c r="AV109" s="15"/>
      <c r="AW109" s="15"/>
      <c r="AX109" s="15"/>
      <c r="AY109" s="15"/>
      <c r="AZ109" s="16"/>
      <c r="BA109" s="16"/>
      <c r="BB109" s="15"/>
      <c r="BC109" s="15"/>
      <c r="BD109" s="15"/>
      <c r="BE109" s="15"/>
      <c r="BF109" s="15"/>
      <c r="BG109" s="15"/>
      <c r="BH109" s="15"/>
      <c r="BI109" s="10">
        <v>0</v>
      </c>
      <c r="BJ109" s="10">
        <v>0</v>
      </c>
      <c r="BK109" s="10">
        <v>0</v>
      </c>
      <c r="BL109" s="10">
        <v>0</v>
      </c>
      <c r="BM109" s="10">
        <v>0</v>
      </c>
      <c r="BN109" s="10">
        <v>0</v>
      </c>
      <c r="BO109" s="10">
        <v>0</v>
      </c>
      <c r="BP109" s="15"/>
      <c r="BQ109" s="15"/>
      <c r="BR109" s="15"/>
      <c r="BS109" s="15"/>
      <c r="BT109" s="31"/>
    </row>
    <row r="110" spans="1:72" ht="17.25" customHeight="1" x14ac:dyDescent="0.3">
      <c r="A110" s="70"/>
      <c r="B110" s="42" t="s">
        <v>89</v>
      </c>
      <c r="C110" s="13" t="s">
        <v>90</v>
      </c>
      <c r="D110" s="13">
        <v>502</v>
      </c>
      <c r="E110" s="9">
        <v>1</v>
      </c>
      <c r="F110" s="9">
        <v>1</v>
      </c>
      <c r="G110" s="9">
        <v>1</v>
      </c>
      <c r="H110" s="9">
        <v>1</v>
      </c>
      <c r="I110" s="9">
        <v>1</v>
      </c>
      <c r="J110" s="15" t="s">
        <v>122</v>
      </c>
      <c r="K110" s="15"/>
      <c r="L110" s="15"/>
      <c r="M110" s="15"/>
      <c r="N110" s="15" t="s">
        <v>122</v>
      </c>
      <c r="O110" s="15"/>
      <c r="P110" s="15"/>
      <c r="Q110" s="15"/>
      <c r="R110" s="15"/>
      <c r="S110" s="15" t="s">
        <v>122</v>
      </c>
      <c r="T110" s="15">
        <v>0</v>
      </c>
      <c r="U110" s="15" t="s">
        <v>122</v>
      </c>
      <c r="V110" s="9">
        <v>0</v>
      </c>
      <c r="W110" s="9">
        <v>0</v>
      </c>
      <c r="X110" s="9">
        <v>0</v>
      </c>
      <c r="Y110" s="9">
        <v>0</v>
      </c>
      <c r="Z110" s="9">
        <v>0</v>
      </c>
      <c r="AA110" s="9">
        <v>0</v>
      </c>
      <c r="AB110" s="9">
        <v>0</v>
      </c>
      <c r="AC110" s="9">
        <v>0</v>
      </c>
      <c r="AD110" s="9">
        <v>0</v>
      </c>
      <c r="AE110" s="9">
        <v>0</v>
      </c>
      <c r="AF110" s="18">
        <v>0</v>
      </c>
      <c r="AG110" s="18">
        <v>0</v>
      </c>
      <c r="AH110" s="18">
        <v>0</v>
      </c>
      <c r="AI110" s="15" t="s">
        <v>122</v>
      </c>
      <c r="AJ110" s="15" t="s">
        <v>122</v>
      </c>
      <c r="AK110" s="15" t="s">
        <v>122</v>
      </c>
      <c r="AL110" s="9">
        <v>0</v>
      </c>
      <c r="AM110" s="9">
        <v>0</v>
      </c>
      <c r="AN110" s="35"/>
      <c r="AO110" s="15" t="s">
        <v>122</v>
      </c>
      <c r="AP110" s="15" t="s">
        <v>122</v>
      </c>
      <c r="AQ110" s="15"/>
      <c r="AR110" s="15"/>
      <c r="AS110" s="15"/>
      <c r="AT110" s="15"/>
      <c r="AU110" s="15"/>
      <c r="AV110" s="15"/>
      <c r="AW110" s="15"/>
      <c r="AX110" s="15"/>
      <c r="AY110" s="15"/>
      <c r="AZ110" s="16"/>
      <c r="BA110" s="16"/>
      <c r="BB110" s="15"/>
      <c r="BC110" s="15"/>
      <c r="BD110" s="15"/>
      <c r="BE110" s="15"/>
      <c r="BF110" s="15"/>
      <c r="BG110" s="15"/>
      <c r="BH110" s="15"/>
      <c r="BI110" s="10">
        <v>0</v>
      </c>
      <c r="BJ110" s="10">
        <v>0</v>
      </c>
      <c r="BK110" s="10">
        <v>0</v>
      </c>
      <c r="BL110" s="10">
        <v>0</v>
      </c>
      <c r="BM110" s="10">
        <v>0</v>
      </c>
      <c r="BN110" s="10">
        <v>0</v>
      </c>
      <c r="BO110" s="10">
        <v>0</v>
      </c>
      <c r="BP110" s="15"/>
      <c r="BQ110" s="15"/>
      <c r="BR110" s="15"/>
      <c r="BS110" s="15"/>
      <c r="BT110" s="31"/>
    </row>
    <row r="111" spans="1:72" ht="17.25" customHeight="1" x14ac:dyDescent="0.3">
      <c r="A111" s="70"/>
      <c r="B111" s="42" t="s">
        <v>89</v>
      </c>
      <c r="C111" s="13" t="s">
        <v>91</v>
      </c>
      <c r="D111" s="13">
        <v>503</v>
      </c>
      <c r="E111" s="9">
        <v>1</v>
      </c>
      <c r="F111" s="9">
        <v>1</v>
      </c>
      <c r="G111" s="9">
        <v>1</v>
      </c>
      <c r="H111" s="9">
        <v>1</v>
      </c>
      <c r="I111" s="9">
        <v>1</v>
      </c>
      <c r="J111" s="15" t="s">
        <v>122</v>
      </c>
      <c r="K111" s="15"/>
      <c r="L111" s="15"/>
      <c r="M111" s="15"/>
      <c r="N111" s="15" t="s">
        <v>122</v>
      </c>
      <c r="O111" s="15"/>
      <c r="P111" s="15"/>
      <c r="Q111" s="15"/>
      <c r="R111" s="15"/>
      <c r="S111" s="15" t="s">
        <v>122</v>
      </c>
      <c r="T111" s="15">
        <v>0</v>
      </c>
      <c r="U111" s="15" t="s">
        <v>122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9">
        <v>0</v>
      </c>
      <c r="AE111" s="9">
        <v>0</v>
      </c>
      <c r="AF111" s="18">
        <v>0</v>
      </c>
      <c r="AG111" s="18">
        <v>0</v>
      </c>
      <c r="AH111" s="18">
        <v>0</v>
      </c>
      <c r="AI111" s="15" t="s">
        <v>122</v>
      </c>
      <c r="AJ111" s="15" t="s">
        <v>122</v>
      </c>
      <c r="AK111" s="15" t="s">
        <v>122</v>
      </c>
      <c r="AL111" s="9">
        <v>0</v>
      </c>
      <c r="AM111" s="9">
        <v>0</v>
      </c>
      <c r="AN111" s="35"/>
      <c r="AO111" s="15" t="s">
        <v>122</v>
      </c>
      <c r="AP111" s="15" t="s">
        <v>122</v>
      </c>
      <c r="AQ111" s="15"/>
      <c r="AR111" s="15"/>
      <c r="AS111" s="15"/>
      <c r="AT111" s="15"/>
      <c r="AU111" s="15"/>
      <c r="AV111" s="15"/>
      <c r="AW111" s="15"/>
      <c r="AX111" s="15"/>
      <c r="AY111" s="15"/>
      <c r="AZ111" s="16"/>
      <c r="BA111" s="16"/>
      <c r="BB111" s="15"/>
      <c r="BC111" s="15"/>
      <c r="BD111" s="15"/>
      <c r="BE111" s="15"/>
      <c r="BF111" s="15"/>
      <c r="BG111" s="15"/>
      <c r="BH111" s="15"/>
      <c r="BI111" s="10">
        <v>0</v>
      </c>
      <c r="BJ111" s="10">
        <v>0</v>
      </c>
      <c r="BK111" s="10">
        <v>0</v>
      </c>
      <c r="BL111" s="10">
        <v>0</v>
      </c>
      <c r="BM111" s="10">
        <v>0</v>
      </c>
      <c r="BN111" s="10">
        <v>0</v>
      </c>
      <c r="BO111" s="10">
        <v>0</v>
      </c>
      <c r="BP111" s="15"/>
      <c r="BQ111" s="15"/>
      <c r="BR111" s="15"/>
      <c r="BS111" s="15"/>
      <c r="BT111" s="31"/>
    </row>
    <row r="112" spans="1:72" ht="17.25" customHeight="1" x14ac:dyDescent="0.3">
      <c r="A112" s="70"/>
      <c r="B112" s="42" t="s">
        <v>89</v>
      </c>
      <c r="C112" s="13" t="s">
        <v>90</v>
      </c>
      <c r="D112" s="13">
        <v>504</v>
      </c>
      <c r="E112" s="9">
        <v>1</v>
      </c>
      <c r="F112" s="9">
        <v>1</v>
      </c>
      <c r="G112" s="9">
        <v>1</v>
      </c>
      <c r="H112" s="9">
        <v>1</v>
      </c>
      <c r="I112" s="9">
        <v>1</v>
      </c>
      <c r="J112" s="15" t="s">
        <v>122</v>
      </c>
      <c r="K112" s="15"/>
      <c r="L112" s="15"/>
      <c r="M112" s="15"/>
      <c r="N112" s="15" t="s">
        <v>122</v>
      </c>
      <c r="O112" s="15"/>
      <c r="P112" s="15"/>
      <c r="Q112" s="15"/>
      <c r="R112" s="15"/>
      <c r="S112" s="15" t="s">
        <v>122</v>
      </c>
      <c r="T112" s="15">
        <v>0</v>
      </c>
      <c r="U112" s="15" t="s">
        <v>122</v>
      </c>
      <c r="V112" s="9">
        <v>0</v>
      </c>
      <c r="W112" s="9">
        <v>0</v>
      </c>
      <c r="X112" s="9">
        <v>0</v>
      </c>
      <c r="Y112" s="9">
        <v>0</v>
      </c>
      <c r="Z112" s="9">
        <v>0</v>
      </c>
      <c r="AA112" s="9">
        <v>0</v>
      </c>
      <c r="AB112" s="9">
        <v>0</v>
      </c>
      <c r="AC112" s="9">
        <v>0</v>
      </c>
      <c r="AD112" s="9">
        <v>0</v>
      </c>
      <c r="AE112" s="9">
        <v>0</v>
      </c>
      <c r="AF112" s="18">
        <v>0</v>
      </c>
      <c r="AG112" s="18">
        <v>0</v>
      </c>
      <c r="AH112" s="18">
        <v>0</v>
      </c>
      <c r="AI112" s="15" t="s">
        <v>122</v>
      </c>
      <c r="AJ112" s="15" t="s">
        <v>122</v>
      </c>
      <c r="AK112" s="15" t="s">
        <v>122</v>
      </c>
      <c r="AL112" s="9">
        <v>0</v>
      </c>
      <c r="AM112" s="9">
        <v>0</v>
      </c>
      <c r="AN112" s="35"/>
      <c r="AO112" s="15" t="s">
        <v>122</v>
      </c>
      <c r="AP112" s="15" t="s">
        <v>122</v>
      </c>
      <c r="AQ112" s="15"/>
      <c r="AR112" s="15"/>
      <c r="AS112" s="15"/>
      <c r="AT112" s="15"/>
      <c r="AU112" s="15"/>
      <c r="AV112" s="15"/>
      <c r="AW112" s="15"/>
      <c r="AX112" s="15"/>
      <c r="AY112" s="15"/>
      <c r="AZ112" s="16"/>
      <c r="BA112" s="16"/>
      <c r="BB112" s="15"/>
      <c r="BC112" s="15"/>
      <c r="BD112" s="15"/>
      <c r="BE112" s="15"/>
      <c r="BF112" s="15"/>
      <c r="BG112" s="15"/>
      <c r="BH112" s="15"/>
      <c r="BI112" s="10">
        <v>0</v>
      </c>
      <c r="BJ112" s="10">
        <v>0</v>
      </c>
      <c r="BK112" s="10">
        <v>0</v>
      </c>
      <c r="BL112" s="10">
        <v>0</v>
      </c>
      <c r="BM112" s="10">
        <v>0</v>
      </c>
      <c r="BN112" s="10">
        <v>0</v>
      </c>
      <c r="BO112" s="10">
        <v>0</v>
      </c>
      <c r="BP112" s="15"/>
      <c r="BQ112" s="15"/>
      <c r="BR112" s="15"/>
      <c r="BS112" s="15"/>
      <c r="BT112" s="31"/>
    </row>
    <row r="113" spans="1:72" ht="17.25" customHeight="1" x14ac:dyDescent="0.3">
      <c r="A113" s="70"/>
      <c r="B113" s="42" t="s">
        <v>89</v>
      </c>
      <c r="C113" s="13" t="s">
        <v>90</v>
      </c>
      <c r="D113" s="13">
        <v>505</v>
      </c>
      <c r="E113" s="9">
        <v>1</v>
      </c>
      <c r="F113" s="9">
        <v>1</v>
      </c>
      <c r="G113" s="9">
        <v>1</v>
      </c>
      <c r="H113" s="9">
        <v>1</v>
      </c>
      <c r="I113" s="9">
        <v>1</v>
      </c>
      <c r="J113" s="15" t="s">
        <v>122</v>
      </c>
      <c r="K113" s="15"/>
      <c r="L113" s="15"/>
      <c r="M113" s="15"/>
      <c r="N113" s="15" t="s">
        <v>122</v>
      </c>
      <c r="O113" s="15"/>
      <c r="P113" s="15"/>
      <c r="Q113" s="15"/>
      <c r="R113" s="15"/>
      <c r="S113" s="15" t="s">
        <v>122</v>
      </c>
      <c r="T113" s="15">
        <v>0</v>
      </c>
      <c r="U113" s="15" t="s">
        <v>122</v>
      </c>
      <c r="V113" s="9">
        <v>0</v>
      </c>
      <c r="W113" s="9">
        <v>0</v>
      </c>
      <c r="X113" s="9">
        <v>0</v>
      </c>
      <c r="Y113" s="9">
        <v>0</v>
      </c>
      <c r="Z113" s="9">
        <v>0</v>
      </c>
      <c r="AA113" s="9">
        <v>0</v>
      </c>
      <c r="AB113" s="9">
        <v>0</v>
      </c>
      <c r="AC113" s="9">
        <v>0</v>
      </c>
      <c r="AD113" s="9">
        <v>0</v>
      </c>
      <c r="AE113" s="9">
        <v>0</v>
      </c>
      <c r="AF113" s="18">
        <v>0</v>
      </c>
      <c r="AG113" s="18">
        <v>0</v>
      </c>
      <c r="AH113" s="18">
        <v>0</v>
      </c>
      <c r="AI113" s="15" t="s">
        <v>122</v>
      </c>
      <c r="AJ113" s="15" t="s">
        <v>122</v>
      </c>
      <c r="AK113" s="15" t="s">
        <v>122</v>
      </c>
      <c r="AL113" s="9">
        <v>0</v>
      </c>
      <c r="AM113" s="9">
        <v>0</v>
      </c>
      <c r="AN113" s="35"/>
      <c r="AO113" s="15" t="s">
        <v>122</v>
      </c>
      <c r="AP113" s="15" t="s">
        <v>122</v>
      </c>
      <c r="AQ113" s="15"/>
      <c r="AR113" s="15"/>
      <c r="AS113" s="15"/>
      <c r="AT113" s="15"/>
      <c r="AU113" s="15"/>
      <c r="AV113" s="15"/>
      <c r="AW113" s="15"/>
      <c r="AX113" s="15"/>
      <c r="AY113" s="15"/>
      <c r="AZ113" s="16"/>
      <c r="BA113" s="16"/>
      <c r="BB113" s="15"/>
      <c r="BC113" s="15"/>
      <c r="BD113" s="15"/>
      <c r="BE113" s="15"/>
      <c r="BF113" s="15"/>
      <c r="BG113" s="15"/>
      <c r="BH113" s="15"/>
      <c r="BI113" s="10">
        <v>0</v>
      </c>
      <c r="BJ113" s="10">
        <v>0</v>
      </c>
      <c r="BK113" s="10">
        <v>0</v>
      </c>
      <c r="BL113" s="10">
        <v>0</v>
      </c>
      <c r="BM113" s="10">
        <v>0</v>
      </c>
      <c r="BN113" s="10">
        <v>0</v>
      </c>
      <c r="BO113" s="10">
        <v>0</v>
      </c>
      <c r="BP113" s="15"/>
      <c r="BQ113" s="15"/>
      <c r="BR113" s="15"/>
      <c r="BS113" s="15"/>
      <c r="BT113" s="31"/>
    </row>
    <row r="114" spans="1:72" ht="17.25" customHeight="1" x14ac:dyDescent="0.3">
      <c r="A114" s="70"/>
      <c r="B114" s="42" t="s">
        <v>89</v>
      </c>
      <c r="C114" s="13" t="s">
        <v>91</v>
      </c>
      <c r="D114" s="13">
        <v>506</v>
      </c>
      <c r="E114" s="9">
        <v>1</v>
      </c>
      <c r="F114" s="9">
        <v>1</v>
      </c>
      <c r="G114" s="9">
        <v>1</v>
      </c>
      <c r="H114" s="9">
        <v>1</v>
      </c>
      <c r="I114" s="9">
        <v>1</v>
      </c>
      <c r="J114" s="15" t="s">
        <v>122</v>
      </c>
      <c r="K114" s="15"/>
      <c r="L114" s="15"/>
      <c r="M114" s="15"/>
      <c r="N114" s="15" t="s">
        <v>122</v>
      </c>
      <c r="O114" s="15"/>
      <c r="P114" s="15"/>
      <c r="Q114" s="15"/>
      <c r="R114" s="15"/>
      <c r="S114" s="15" t="s">
        <v>122</v>
      </c>
      <c r="T114" s="15">
        <v>0</v>
      </c>
      <c r="U114" s="15" t="s">
        <v>122</v>
      </c>
      <c r="V114" s="9">
        <v>0</v>
      </c>
      <c r="W114" s="9">
        <v>0</v>
      </c>
      <c r="X114" s="9">
        <v>0</v>
      </c>
      <c r="Y114" s="9">
        <v>0</v>
      </c>
      <c r="Z114" s="9">
        <v>0</v>
      </c>
      <c r="AA114" s="9">
        <v>0</v>
      </c>
      <c r="AB114" s="9">
        <v>0</v>
      </c>
      <c r="AC114" s="9">
        <v>0</v>
      </c>
      <c r="AD114" s="9">
        <v>0</v>
      </c>
      <c r="AE114" s="9">
        <v>0</v>
      </c>
      <c r="AF114" s="18">
        <v>0</v>
      </c>
      <c r="AG114" s="18">
        <v>0</v>
      </c>
      <c r="AH114" s="18">
        <v>0</v>
      </c>
      <c r="AI114" s="15" t="s">
        <v>122</v>
      </c>
      <c r="AJ114" s="15" t="s">
        <v>122</v>
      </c>
      <c r="AK114" s="15" t="s">
        <v>122</v>
      </c>
      <c r="AL114" s="9">
        <v>0</v>
      </c>
      <c r="AM114" s="9">
        <v>0</v>
      </c>
      <c r="AN114" s="35"/>
      <c r="AO114" s="15" t="s">
        <v>122</v>
      </c>
      <c r="AP114" s="15" t="s">
        <v>122</v>
      </c>
      <c r="AQ114" s="15"/>
      <c r="AR114" s="15"/>
      <c r="AS114" s="15"/>
      <c r="AT114" s="15"/>
      <c r="AU114" s="15"/>
      <c r="AV114" s="15"/>
      <c r="AW114" s="15"/>
      <c r="AX114" s="15"/>
      <c r="AY114" s="15"/>
      <c r="AZ114" s="16"/>
      <c r="BA114" s="16"/>
      <c r="BB114" s="15"/>
      <c r="BC114" s="15"/>
      <c r="BD114" s="15"/>
      <c r="BE114" s="15"/>
      <c r="BF114" s="15"/>
      <c r="BG114" s="15"/>
      <c r="BH114" s="15"/>
      <c r="BI114" s="10">
        <v>0</v>
      </c>
      <c r="BJ114" s="10">
        <v>0</v>
      </c>
      <c r="BK114" s="10">
        <v>0</v>
      </c>
      <c r="BL114" s="10">
        <v>0</v>
      </c>
      <c r="BM114" s="10">
        <v>0</v>
      </c>
      <c r="BN114" s="10">
        <v>0</v>
      </c>
      <c r="BO114" s="10">
        <v>0</v>
      </c>
      <c r="BP114" s="15"/>
      <c r="BQ114" s="15"/>
      <c r="BR114" s="15"/>
      <c r="BS114" s="15"/>
      <c r="BT114" s="31"/>
    </row>
    <row r="115" spans="1:72" ht="17.25" customHeight="1" x14ac:dyDescent="0.3">
      <c r="A115" s="70"/>
      <c r="B115" s="42" t="s">
        <v>89</v>
      </c>
      <c r="C115" s="13" t="s">
        <v>90</v>
      </c>
      <c r="D115" s="13">
        <v>507</v>
      </c>
      <c r="E115" s="9">
        <v>1</v>
      </c>
      <c r="F115" s="9">
        <v>1</v>
      </c>
      <c r="G115" s="9">
        <v>1</v>
      </c>
      <c r="H115" s="9">
        <v>1</v>
      </c>
      <c r="I115" s="9">
        <v>1</v>
      </c>
      <c r="J115" s="15" t="s">
        <v>122</v>
      </c>
      <c r="K115" s="15"/>
      <c r="L115" s="15"/>
      <c r="M115" s="15"/>
      <c r="N115" s="15" t="s">
        <v>122</v>
      </c>
      <c r="O115" s="15"/>
      <c r="P115" s="15"/>
      <c r="Q115" s="15"/>
      <c r="R115" s="15"/>
      <c r="S115" s="15" t="s">
        <v>122</v>
      </c>
      <c r="T115" s="15">
        <v>0</v>
      </c>
      <c r="U115" s="15" t="s">
        <v>122</v>
      </c>
      <c r="V115" s="9">
        <v>0</v>
      </c>
      <c r="W115" s="9">
        <v>0</v>
      </c>
      <c r="X115" s="9">
        <v>0</v>
      </c>
      <c r="Y115" s="9">
        <v>0</v>
      </c>
      <c r="Z115" s="9">
        <v>0</v>
      </c>
      <c r="AA115" s="9">
        <v>0</v>
      </c>
      <c r="AB115" s="9">
        <v>0</v>
      </c>
      <c r="AC115" s="9">
        <v>0</v>
      </c>
      <c r="AD115" s="9">
        <v>0</v>
      </c>
      <c r="AE115" s="9">
        <v>0</v>
      </c>
      <c r="AF115" s="18">
        <v>0</v>
      </c>
      <c r="AG115" s="18">
        <v>0</v>
      </c>
      <c r="AH115" s="18">
        <v>0</v>
      </c>
      <c r="AI115" s="15" t="s">
        <v>122</v>
      </c>
      <c r="AJ115" s="15" t="s">
        <v>122</v>
      </c>
      <c r="AK115" s="15" t="s">
        <v>122</v>
      </c>
      <c r="AL115" s="9">
        <v>0</v>
      </c>
      <c r="AM115" s="9">
        <v>0</v>
      </c>
      <c r="AN115" s="35"/>
      <c r="AO115" s="15" t="s">
        <v>122</v>
      </c>
      <c r="AP115" s="15" t="s">
        <v>122</v>
      </c>
      <c r="AQ115" s="15"/>
      <c r="AR115" s="15"/>
      <c r="AS115" s="15"/>
      <c r="AT115" s="15"/>
      <c r="AU115" s="15"/>
      <c r="AV115" s="15"/>
      <c r="AW115" s="15"/>
      <c r="AX115" s="15"/>
      <c r="AY115" s="15"/>
      <c r="AZ115" s="16"/>
      <c r="BA115" s="16"/>
      <c r="BB115" s="15"/>
      <c r="BC115" s="15"/>
      <c r="BD115" s="15"/>
      <c r="BE115" s="15"/>
      <c r="BF115" s="15"/>
      <c r="BG115" s="15"/>
      <c r="BH115" s="15"/>
      <c r="BI115" s="10">
        <v>0</v>
      </c>
      <c r="BJ115" s="10">
        <v>0</v>
      </c>
      <c r="BK115" s="10">
        <v>0</v>
      </c>
      <c r="BL115" s="10">
        <v>0</v>
      </c>
      <c r="BM115" s="10">
        <v>0</v>
      </c>
      <c r="BN115" s="10">
        <v>0</v>
      </c>
      <c r="BO115" s="10">
        <v>0</v>
      </c>
      <c r="BP115" s="15"/>
      <c r="BQ115" s="15"/>
      <c r="BR115" s="15"/>
      <c r="BS115" s="15"/>
      <c r="BT115" s="31"/>
    </row>
    <row r="116" spans="1:72" ht="17.25" customHeight="1" x14ac:dyDescent="0.3">
      <c r="A116" s="70"/>
      <c r="B116" s="42" t="s">
        <v>89</v>
      </c>
      <c r="C116" s="13" t="s">
        <v>91</v>
      </c>
      <c r="D116" s="13">
        <v>518</v>
      </c>
      <c r="E116" s="9">
        <v>1</v>
      </c>
      <c r="F116" s="9">
        <v>1</v>
      </c>
      <c r="G116" s="9">
        <v>1</v>
      </c>
      <c r="H116" s="9">
        <v>1</v>
      </c>
      <c r="I116" s="9">
        <v>1</v>
      </c>
      <c r="J116" s="15" t="s">
        <v>122</v>
      </c>
      <c r="K116" s="15"/>
      <c r="L116" s="15"/>
      <c r="M116" s="15"/>
      <c r="N116" s="15" t="s">
        <v>122</v>
      </c>
      <c r="O116" s="15"/>
      <c r="P116" s="15"/>
      <c r="Q116" s="15"/>
      <c r="R116" s="15"/>
      <c r="S116" s="15" t="s">
        <v>122</v>
      </c>
      <c r="T116" s="15">
        <v>0</v>
      </c>
      <c r="U116" s="15" t="s">
        <v>122</v>
      </c>
      <c r="V116" s="9">
        <v>0</v>
      </c>
      <c r="W116" s="9">
        <v>0</v>
      </c>
      <c r="X116" s="9">
        <v>0</v>
      </c>
      <c r="Y116" s="9">
        <v>0</v>
      </c>
      <c r="Z116" s="9">
        <v>0</v>
      </c>
      <c r="AA116" s="9">
        <v>0</v>
      </c>
      <c r="AB116" s="9">
        <v>0</v>
      </c>
      <c r="AC116" s="9">
        <v>0</v>
      </c>
      <c r="AD116" s="9">
        <v>0</v>
      </c>
      <c r="AE116" s="9">
        <v>0</v>
      </c>
      <c r="AF116" s="18">
        <v>0</v>
      </c>
      <c r="AG116" s="18">
        <v>0</v>
      </c>
      <c r="AH116" s="18">
        <v>0</v>
      </c>
      <c r="AI116" s="15" t="s">
        <v>122</v>
      </c>
      <c r="AJ116" s="15" t="s">
        <v>122</v>
      </c>
      <c r="AK116" s="15" t="s">
        <v>122</v>
      </c>
      <c r="AL116" s="9">
        <v>0</v>
      </c>
      <c r="AM116" s="9">
        <v>0</v>
      </c>
      <c r="AN116" s="35"/>
      <c r="AO116" s="15" t="s">
        <v>122</v>
      </c>
      <c r="AP116" s="15" t="s">
        <v>122</v>
      </c>
      <c r="AQ116" s="15"/>
      <c r="AR116" s="15"/>
      <c r="AS116" s="15"/>
      <c r="AT116" s="15"/>
      <c r="AU116" s="15"/>
      <c r="AV116" s="15"/>
      <c r="AW116" s="15"/>
      <c r="AX116" s="15"/>
      <c r="AY116" s="15"/>
      <c r="AZ116" s="16"/>
      <c r="BA116" s="16"/>
      <c r="BB116" s="15"/>
      <c r="BC116" s="15"/>
      <c r="BD116" s="15"/>
      <c r="BE116" s="15"/>
      <c r="BF116" s="15"/>
      <c r="BG116" s="15"/>
      <c r="BH116" s="15"/>
      <c r="BI116" s="10">
        <v>0</v>
      </c>
      <c r="BJ116" s="10">
        <v>0</v>
      </c>
      <c r="BK116" s="10">
        <v>0</v>
      </c>
      <c r="BL116" s="10">
        <v>0</v>
      </c>
      <c r="BM116" s="10">
        <v>0</v>
      </c>
      <c r="BN116" s="10">
        <v>0</v>
      </c>
      <c r="BO116" s="10">
        <v>0</v>
      </c>
      <c r="BP116" s="15"/>
      <c r="BQ116" s="15"/>
      <c r="BR116" s="15"/>
      <c r="BS116" s="15"/>
      <c r="BT116" s="31"/>
    </row>
    <row r="117" spans="1:72" ht="17.25" customHeight="1" x14ac:dyDescent="0.3">
      <c r="A117" s="70"/>
      <c r="B117" s="42" t="s">
        <v>89</v>
      </c>
      <c r="C117" s="13" t="s">
        <v>90</v>
      </c>
      <c r="D117" s="13">
        <v>519</v>
      </c>
      <c r="E117" s="9">
        <v>1</v>
      </c>
      <c r="F117" s="9">
        <v>1</v>
      </c>
      <c r="G117" s="9">
        <v>1</v>
      </c>
      <c r="H117" s="9">
        <v>1</v>
      </c>
      <c r="I117" s="9">
        <v>1</v>
      </c>
      <c r="J117" s="15" t="s">
        <v>122</v>
      </c>
      <c r="K117" s="15"/>
      <c r="L117" s="15"/>
      <c r="M117" s="15"/>
      <c r="N117" s="15" t="s">
        <v>122</v>
      </c>
      <c r="O117" s="15"/>
      <c r="P117" s="15"/>
      <c r="Q117" s="15"/>
      <c r="R117" s="15"/>
      <c r="S117" s="15" t="s">
        <v>122</v>
      </c>
      <c r="T117" s="15">
        <v>0</v>
      </c>
      <c r="U117" s="15" t="s">
        <v>122</v>
      </c>
      <c r="V117" s="9">
        <v>0</v>
      </c>
      <c r="W117" s="9">
        <v>0</v>
      </c>
      <c r="X117" s="9">
        <v>0</v>
      </c>
      <c r="Y117" s="9">
        <v>0</v>
      </c>
      <c r="Z117" s="9">
        <v>0</v>
      </c>
      <c r="AA117" s="9">
        <v>0</v>
      </c>
      <c r="AB117" s="9">
        <v>0</v>
      </c>
      <c r="AC117" s="9">
        <v>0</v>
      </c>
      <c r="AD117" s="9">
        <v>0</v>
      </c>
      <c r="AE117" s="9">
        <v>0</v>
      </c>
      <c r="AF117" s="18">
        <v>0</v>
      </c>
      <c r="AG117" s="18">
        <v>0</v>
      </c>
      <c r="AH117" s="18">
        <v>0</v>
      </c>
      <c r="AI117" s="15" t="s">
        <v>122</v>
      </c>
      <c r="AJ117" s="15" t="s">
        <v>122</v>
      </c>
      <c r="AK117" s="15" t="s">
        <v>122</v>
      </c>
      <c r="AL117" s="9">
        <v>0</v>
      </c>
      <c r="AM117" s="9">
        <v>0</v>
      </c>
      <c r="AN117" s="35"/>
      <c r="AO117" s="15" t="s">
        <v>122</v>
      </c>
      <c r="AP117" s="15" t="s">
        <v>122</v>
      </c>
      <c r="AQ117" s="15"/>
      <c r="AR117" s="15"/>
      <c r="AS117" s="15"/>
      <c r="AT117" s="15"/>
      <c r="AU117" s="15"/>
      <c r="AV117" s="15"/>
      <c r="AW117" s="15"/>
      <c r="AX117" s="15"/>
      <c r="AY117" s="15"/>
      <c r="AZ117" s="16"/>
      <c r="BA117" s="16"/>
      <c r="BB117" s="15"/>
      <c r="BC117" s="15"/>
      <c r="BD117" s="15"/>
      <c r="BE117" s="15"/>
      <c r="BF117" s="15"/>
      <c r="BG117" s="15"/>
      <c r="BH117" s="15"/>
      <c r="BI117" s="10">
        <v>0</v>
      </c>
      <c r="BJ117" s="10">
        <v>0</v>
      </c>
      <c r="BK117" s="10">
        <v>0</v>
      </c>
      <c r="BL117" s="10">
        <v>0</v>
      </c>
      <c r="BM117" s="10">
        <v>0</v>
      </c>
      <c r="BN117" s="10">
        <v>0</v>
      </c>
      <c r="BO117" s="10">
        <v>0</v>
      </c>
      <c r="BP117" s="15"/>
      <c r="BQ117" s="15"/>
      <c r="BR117" s="15"/>
      <c r="BS117" s="15"/>
      <c r="BT117" s="31"/>
    </row>
    <row r="118" spans="1:72" ht="17.25" customHeight="1" x14ac:dyDescent="0.3">
      <c r="A118" s="70"/>
      <c r="B118" s="42" t="s">
        <v>89</v>
      </c>
      <c r="C118" s="13" t="s">
        <v>90</v>
      </c>
      <c r="D118" s="13">
        <v>520</v>
      </c>
      <c r="E118" s="9">
        <v>1</v>
      </c>
      <c r="F118" s="9">
        <v>1</v>
      </c>
      <c r="G118" s="9">
        <v>1</v>
      </c>
      <c r="H118" s="9">
        <v>1</v>
      </c>
      <c r="I118" s="9">
        <v>1</v>
      </c>
      <c r="J118" s="15" t="s">
        <v>122</v>
      </c>
      <c r="K118" s="15"/>
      <c r="L118" s="15"/>
      <c r="M118" s="15"/>
      <c r="N118" s="15" t="s">
        <v>122</v>
      </c>
      <c r="O118" s="15"/>
      <c r="P118" s="15"/>
      <c r="Q118" s="15"/>
      <c r="R118" s="15"/>
      <c r="S118" s="15" t="s">
        <v>122</v>
      </c>
      <c r="T118" s="15">
        <v>0</v>
      </c>
      <c r="U118" s="15" t="s">
        <v>122</v>
      </c>
      <c r="V118" s="9">
        <v>0</v>
      </c>
      <c r="W118" s="9">
        <v>0</v>
      </c>
      <c r="X118" s="9">
        <v>0</v>
      </c>
      <c r="Y118" s="9">
        <v>0</v>
      </c>
      <c r="Z118" s="9">
        <v>0</v>
      </c>
      <c r="AA118" s="9">
        <v>0</v>
      </c>
      <c r="AB118" s="9">
        <v>0</v>
      </c>
      <c r="AC118" s="9">
        <v>0</v>
      </c>
      <c r="AD118" s="9">
        <v>0</v>
      </c>
      <c r="AE118" s="9">
        <v>0</v>
      </c>
      <c r="AF118" s="18">
        <v>0</v>
      </c>
      <c r="AG118" s="18">
        <v>0</v>
      </c>
      <c r="AH118" s="18">
        <v>0</v>
      </c>
      <c r="AI118" s="15" t="s">
        <v>122</v>
      </c>
      <c r="AJ118" s="15" t="s">
        <v>122</v>
      </c>
      <c r="AK118" s="15" t="s">
        <v>122</v>
      </c>
      <c r="AL118" s="9">
        <v>0</v>
      </c>
      <c r="AM118" s="9">
        <v>0</v>
      </c>
      <c r="AN118" s="35"/>
      <c r="AO118" s="15" t="s">
        <v>122</v>
      </c>
      <c r="AP118" s="15" t="s">
        <v>122</v>
      </c>
      <c r="AQ118" s="15"/>
      <c r="AR118" s="15"/>
      <c r="AS118" s="15"/>
      <c r="AT118" s="15"/>
      <c r="AU118" s="15"/>
      <c r="AV118" s="15"/>
      <c r="AW118" s="15"/>
      <c r="AX118" s="15"/>
      <c r="AY118" s="15"/>
      <c r="AZ118" s="16"/>
      <c r="BA118" s="16"/>
      <c r="BB118" s="15"/>
      <c r="BC118" s="15"/>
      <c r="BD118" s="15"/>
      <c r="BE118" s="15"/>
      <c r="BF118" s="15"/>
      <c r="BG118" s="15"/>
      <c r="BH118" s="15"/>
      <c r="BI118" s="10">
        <v>0</v>
      </c>
      <c r="BJ118" s="10">
        <v>0</v>
      </c>
      <c r="BK118" s="10">
        <v>0</v>
      </c>
      <c r="BL118" s="10">
        <v>0</v>
      </c>
      <c r="BM118" s="10">
        <v>0</v>
      </c>
      <c r="BN118" s="10">
        <v>0</v>
      </c>
      <c r="BO118" s="10">
        <v>0</v>
      </c>
      <c r="BP118" s="15"/>
      <c r="BQ118" s="15"/>
      <c r="BR118" s="15"/>
      <c r="BS118" s="15"/>
      <c r="BT118" s="31"/>
    </row>
    <row r="119" spans="1:72" ht="17.25" customHeight="1" x14ac:dyDescent="0.3">
      <c r="A119" s="70"/>
      <c r="B119" s="42" t="s">
        <v>89</v>
      </c>
      <c r="C119" s="13" t="s">
        <v>90</v>
      </c>
      <c r="D119" s="13">
        <v>521</v>
      </c>
      <c r="E119" s="9">
        <v>1</v>
      </c>
      <c r="F119" s="9">
        <v>1</v>
      </c>
      <c r="G119" s="9">
        <v>1</v>
      </c>
      <c r="H119" s="9">
        <v>1</v>
      </c>
      <c r="I119" s="9">
        <v>1</v>
      </c>
      <c r="J119" s="15" t="s">
        <v>122</v>
      </c>
      <c r="K119" s="15"/>
      <c r="L119" s="15"/>
      <c r="M119" s="15"/>
      <c r="N119" s="15" t="s">
        <v>122</v>
      </c>
      <c r="O119" s="15"/>
      <c r="P119" s="15"/>
      <c r="Q119" s="15"/>
      <c r="R119" s="15"/>
      <c r="S119" s="15" t="s">
        <v>122</v>
      </c>
      <c r="T119" s="15">
        <v>0</v>
      </c>
      <c r="U119" s="15" t="s">
        <v>122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9">
        <v>0</v>
      </c>
      <c r="AE119" s="9">
        <v>0</v>
      </c>
      <c r="AF119" s="18">
        <v>0</v>
      </c>
      <c r="AG119" s="18">
        <v>0</v>
      </c>
      <c r="AH119" s="18">
        <v>0</v>
      </c>
      <c r="AI119" s="15" t="s">
        <v>122</v>
      </c>
      <c r="AJ119" s="15" t="s">
        <v>122</v>
      </c>
      <c r="AK119" s="15" t="s">
        <v>122</v>
      </c>
      <c r="AL119" s="9">
        <v>0</v>
      </c>
      <c r="AM119" s="9">
        <v>0</v>
      </c>
      <c r="AN119" s="35"/>
      <c r="AO119" s="15" t="s">
        <v>122</v>
      </c>
      <c r="AP119" s="15" t="s">
        <v>122</v>
      </c>
      <c r="AQ119" s="15"/>
      <c r="AR119" s="15"/>
      <c r="AS119" s="15"/>
      <c r="AT119" s="15"/>
      <c r="AU119" s="15"/>
      <c r="AV119" s="15"/>
      <c r="AW119" s="15"/>
      <c r="AX119" s="15"/>
      <c r="AY119" s="15"/>
      <c r="AZ119" s="16"/>
      <c r="BA119" s="16"/>
      <c r="BB119" s="15"/>
      <c r="BC119" s="15"/>
      <c r="BD119" s="15"/>
      <c r="BE119" s="15"/>
      <c r="BF119" s="15"/>
      <c r="BG119" s="15"/>
      <c r="BH119" s="15"/>
      <c r="BI119" s="10">
        <v>0</v>
      </c>
      <c r="BJ119" s="10">
        <v>0</v>
      </c>
      <c r="BK119" s="10">
        <v>0</v>
      </c>
      <c r="BL119" s="10">
        <v>0</v>
      </c>
      <c r="BM119" s="10">
        <v>0</v>
      </c>
      <c r="BN119" s="10">
        <v>0</v>
      </c>
      <c r="BO119" s="10">
        <v>0</v>
      </c>
      <c r="BP119" s="15"/>
      <c r="BQ119" s="15"/>
      <c r="BR119" s="15"/>
      <c r="BS119" s="15"/>
      <c r="BT119" s="31"/>
    </row>
    <row r="120" spans="1:72" ht="17.25" customHeight="1" x14ac:dyDescent="0.3">
      <c r="A120" s="70"/>
      <c r="B120" s="42" t="s">
        <v>89</v>
      </c>
      <c r="C120" s="13" t="s">
        <v>90</v>
      </c>
      <c r="D120" s="13">
        <v>522</v>
      </c>
      <c r="E120" s="9">
        <v>1</v>
      </c>
      <c r="F120" s="9">
        <v>1</v>
      </c>
      <c r="G120" s="9">
        <v>1</v>
      </c>
      <c r="H120" s="9">
        <v>1</v>
      </c>
      <c r="I120" s="9">
        <v>1</v>
      </c>
      <c r="J120" s="15" t="s">
        <v>122</v>
      </c>
      <c r="K120" s="15"/>
      <c r="L120" s="15"/>
      <c r="M120" s="15"/>
      <c r="N120" s="15" t="s">
        <v>122</v>
      </c>
      <c r="O120" s="15"/>
      <c r="P120" s="15"/>
      <c r="Q120" s="15"/>
      <c r="R120" s="15"/>
      <c r="S120" s="15" t="s">
        <v>122</v>
      </c>
      <c r="T120" s="15">
        <v>0</v>
      </c>
      <c r="U120" s="15" t="s">
        <v>122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9">
        <v>0</v>
      </c>
      <c r="AC120" s="9">
        <v>0</v>
      </c>
      <c r="AD120" s="9">
        <v>0</v>
      </c>
      <c r="AE120" s="9">
        <v>0</v>
      </c>
      <c r="AF120" s="18">
        <v>0</v>
      </c>
      <c r="AG120" s="18">
        <v>0</v>
      </c>
      <c r="AH120" s="18">
        <v>0</v>
      </c>
      <c r="AI120" s="15" t="s">
        <v>122</v>
      </c>
      <c r="AJ120" s="15" t="s">
        <v>122</v>
      </c>
      <c r="AK120" s="15" t="s">
        <v>122</v>
      </c>
      <c r="AL120" s="9">
        <v>0</v>
      </c>
      <c r="AM120" s="9">
        <v>0</v>
      </c>
      <c r="AN120" s="35"/>
      <c r="AO120" s="15" t="s">
        <v>122</v>
      </c>
      <c r="AP120" s="15" t="s">
        <v>122</v>
      </c>
      <c r="AQ120" s="15"/>
      <c r="AR120" s="15"/>
      <c r="AS120" s="15"/>
      <c r="AT120" s="15"/>
      <c r="AU120" s="15"/>
      <c r="AV120" s="15"/>
      <c r="AW120" s="15"/>
      <c r="AX120" s="15"/>
      <c r="AY120" s="15"/>
      <c r="AZ120" s="16"/>
      <c r="BA120" s="16"/>
      <c r="BB120" s="15"/>
      <c r="BC120" s="15"/>
      <c r="BD120" s="15"/>
      <c r="BE120" s="15"/>
      <c r="BF120" s="15"/>
      <c r="BG120" s="15"/>
      <c r="BH120" s="15"/>
      <c r="BI120" s="10">
        <v>0</v>
      </c>
      <c r="BJ120" s="10">
        <v>0</v>
      </c>
      <c r="BK120" s="10">
        <v>0</v>
      </c>
      <c r="BL120" s="10">
        <v>0</v>
      </c>
      <c r="BM120" s="10">
        <v>0</v>
      </c>
      <c r="BN120" s="10">
        <v>0</v>
      </c>
      <c r="BO120" s="10">
        <v>0</v>
      </c>
      <c r="BP120" s="15"/>
      <c r="BQ120" s="15"/>
      <c r="BR120" s="15"/>
      <c r="BS120" s="15"/>
      <c r="BT120" s="31"/>
    </row>
    <row r="121" spans="1:72" ht="17.25" customHeight="1" x14ac:dyDescent="0.3">
      <c r="A121" s="70"/>
      <c r="B121" s="42" t="s">
        <v>89</v>
      </c>
      <c r="C121" s="13" t="s">
        <v>90</v>
      </c>
      <c r="D121" s="13">
        <v>508</v>
      </c>
      <c r="E121" s="9">
        <v>1</v>
      </c>
      <c r="F121" s="9">
        <v>1</v>
      </c>
      <c r="G121" s="9">
        <v>1</v>
      </c>
      <c r="H121" s="9">
        <v>1</v>
      </c>
      <c r="I121" s="9">
        <v>1</v>
      </c>
      <c r="J121" s="15" t="s">
        <v>122</v>
      </c>
      <c r="K121" s="15"/>
      <c r="L121" s="15"/>
      <c r="M121" s="15"/>
      <c r="N121" s="15" t="s">
        <v>122</v>
      </c>
      <c r="O121" s="15"/>
      <c r="P121" s="15"/>
      <c r="Q121" s="15"/>
      <c r="R121" s="15"/>
      <c r="S121" s="15" t="s">
        <v>122</v>
      </c>
      <c r="T121" s="15">
        <v>0</v>
      </c>
      <c r="U121" s="15" t="s">
        <v>122</v>
      </c>
      <c r="V121" s="9">
        <v>0</v>
      </c>
      <c r="W121" s="9">
        <v>0</v>
      </c>
      <c r="X121" s="9">
        <v>0</v>
      </c>
      <c r="Y121" s="9">
        <v>0</v>
      </c>
      <c r="Z121" s="9">
        <v>0</v>
      </c>
      <c r="AA121" s="9">
        <v>0</v>
      </c>
      <c r="AB121" s="9">
        <v>0</v>
      </c>
      <c r="AC121" s="9">
        <v>0</v>
      </c>
      <c r="AD121" s="9">
        <v>0</v>
      </c>
      <c r="AE121" s="9">
        <v>0</v>
      </c>
      <c r="AF121" s="18">
        <v>0</v>
      </c>
      <c r="AG121" s="18">
        <v>0</v>
      </c>
      <c r="AH121" s="18">
        <v>0</v>
      </c>
      <c r="AI121" s="15" t="s">
        <v>122</v>
      </c>
      <c r="AJ121" s="15" t="s">
        <v>122</v>
      </c>
      <c r="AK121" s="15" t="s">
        <v>122</v>
      </c>
      <c r="AL121" s="9">
        <v>0</v>
      </c>
      <c r="AM121" s="9">
        <v>0</v>
      </c>
      <c r="AN121" s="35"/>
      <c r="AO121" s="15" t="s">
        <v>122</v>
      </c>
      <c r="AP121" s="15" t="s">
        <v>122</v>
      </c>
      <c r="AQ121" s="15"/>
      <c r="AR121" s="15"/>
      <c r="AS121" s="15"/>
      <c r="AT121" s="15"/>
      <c r="AU121" s="15"/>
      <c r="AV121" s="15"/>
      <c r="AW121" s="15"/>
      <c r="AX121" s="15"/>
      <c r="AY121" s="15"/>
      <c r="AZ121" s="16"/>
      <c r="BA121" s="16"/>
      <c r="BB121" s="15"/>
      <c r="BC121" s="15"/>
      <c r="BD121" s="15"/>
      <c r="BE121" s="15"/>
      <c r="BF121" s="15"/>
      <c r="BG121" s="15"/>
      <c r="BH121" s="15"/>
      <c r="BI121" s="10">
        <v>0</v>
      </c>
      <c r="BJ121" s="10">
        <v>0</v>
      </c>
      <c r="BK121" s="10">
        <v>0</v>
      </c>
      <c r="BL121" s="10">
        <v>0</v>
      </c>
      <c r="BM121" s="10">
        <v>0</v>
      </c>
      <c r="BN121" s="10">
        <v>0</v>
      </c>
      <c r="BO121" s="10">
        <v>0</v>
      </c>
      <c r="BP121" s="15"/>
      <c r="BQ121" s="15"/>
      <c r="BR121" s="15"/>
      <c r="BS121" s="15"/>
      <c r="BT121" s="31"/>
    </row>
    <row r="122" spans="1:72" ht="17.25" customHeight="1" x14ac:dyDescent="0.3">
      <c r="A122" s="70"/>
      <c r="B122" s="42" t="s">
        <v>89</v>
      </c>
      <c r="C122" s="13" t="s">
        <v>91</v>
      </c>
      <c r="D122" s="13">
        <v>509</v>
      </c>
      <c r="E122" s="9">
        <v>1</v>
      </c>
      <c r="F122" s="9">
        <v>1</v>
      </c>
      <c r="G122" s="9">
        <v>1</v>
      </c>
      <c r="H122" s="9">
        <v>1</v>
      </c>
      <c r="I122" s="9">
        <v>1</v>
      </c>
      <c r="J122" s="15" t="s">
        <v>122</v>
      </c>
      <c r="K122" s="15"/>
      <c r="L122" s="15"/>
      <c r="M122" s="15"/>
      <c r="N122" s="15" t="s">
        <v>122</v>
      </c>
      <c r="O122" s="15"/>
      <c r="P122" s="15"/>
      <c r="Q122" s="15"/>
      <c r="R122" s="15"/>
      <c r="S122" s="15" t="s">
        <v>122</v>
      </c>
      <c r="T122" s="15">
        <v>0</v>
      </c>
      <c r="U122" s="15" t="s">
        <v>122</v>
      </c>
      <c r="V122" s="9">
        <v>0</v>
      </c>
      <c r="W122" s="9">
        <v>0</v>
      </c>
      <c r="X122" s="9">
        <v>0</v>
      </c>
      <c r="Y122" s="9">
        <v>0</v>
      </c>
      <c r="Z122" s="9">
        <v>0</v>
      </c>
      <c r="AA122" s="9">
        <v>0</v>
      </c>
      <c r="AB122" s="9">
        <v>0</v>
      </c>
      <c r="AC122" s="9">
        <v>0</v>
      </c>
      <c r="AD122" s="9">
        <v>0</v>
      </c>
      <c r="AE122" s="9">
        <v>0</v>
      </c>
      <c r="AF122" s="18">
        <v>0</v>
      </c>
      <c r="AG122" s="18">
        <v>0</v>
      </c>
      <c r="AH122" s="18">
        <v>0</v>
      </c>
      <c r="AI122" s="15" t="s">
        <v>122</v>
      </c>
      <c r="AJ122" s="15" t="s">
        <v>122</v>
      </c>
      <c r="AK122" s="15" t="s">
        <v>122</v>
      </c>
      <c r="AL122" s="9">
        <v>0</v>
      </c>
      <c r="AM122" s="9">
        <v>0</v>
      </c>
      <c r="AN122" s="35"/>
      <c r="AO122" s="15" t="s">
        <v>122</v>
      </c>
      <c r="AP122" s="15" t="s">
        <v>122</v>
      </c>
      <c r="AQ122" s="15"/>
      <c r="AR122" s="15"/>
      <c r="AS122" s="15"/>
      <c r="AT122" s="15"/>
      <c r="AU122" s="15"/>
      <c r="AV122" s="15"/>
      <c r="AW122" s="15"/>
      <c r="AX122" s="15"/>
      <c r="AY122" s="15"/>
      <c r="AZ122" s="16"/>
      <c r="BA122" s="16"/>
      <c r="BB122" s="15"/>
      <c r="BC122" s="15"/>
      <c r="BD122" s="15"/>
      <c r="BE122" s="15"/>
      <c r="BF122" s="15"/>
      <c r="BG122" s="15"/>
      <c r="BH122" s="15"/>
      <c r="BI122" s="10">
        <v>0</v>
      </c>
      <c r="BJ122" s="10">
        <v>0</v>
      </c>
      <c r="BK122" s="10">
        <v>0</v>
      </c>
      <c r="BL122" s="10">
        <v>0</v>
      </c>
      <c r="BM122" s="10">
        <v>0</v>
      </c>
      <c r="BN122" s="10">
        <v>0</v>
      </c>
      <c r="BO122" s="10">
        <v>0</v>
      </c>
      <c r="BP122" s="15"/>
      <c r="BQ122" s="15"/>
      <c r="BR122" s="15"/>
      <c r="BS122" s="15"/>
      <c r="BT122" s="31"/>
    </row>
    <row r="123" spans="1:72" ht="17.25" customHeight="1" x14ac:dyDescent="0.3">
      <c r="A123" s="70"/>
      <c r="B123" s="42" t="s">
        <v>89</v>
      </c>
      <c r="C123" s="13" t="s">
        <v>91</v>
      </c>
      <c r="D123" s="13">
        <v>510</v>
      </c>
      <c r="E123" s="9">
        <v>1</v>
      </c>
      <c r="F123" s="9">
        <v>1</v>
      </c>
      <c r="G123" s="9">
        <v>1</v>
      </c>
      <c r="H123" s="9">
        <v>1</v>
      </c>
      <c r="I123" s="9">
        <v>1</v>
      </c>
      <c r="J123" s="15" t="s">
        <v>122</v>
      </c>
      <c r="K123" s="15"/>
      <c r="L123" s="15"/>
      <c r="M123" s="15"/>
      <c r="N123" s="15" t="s">
        <v>122</v>
      </c>
      <c r="O123" s="15"/>
      <c r="P123" s="15"/>
      <c r="Q123" s="15"/>
      <c r="R123" s="15"/>
      <c r="S123" s="15" t="s">
        <v>122</v>
      </c>
      <c r="T123" s="15">
        <v>0</v>
      </c>
      <c r="U123" s="15" t="s">
        <v>122</v>
      </c>
      <c r="V123" s="9">
        <v>0</v>
      </c>
      <c r="W123" s="9">
        <v>0</v>
      </c>
      <c r="X123" s="9">
        <v>0</v>
      </c>
      <c r="Y123" s="9">
        <v>0</v>
      </c>
      <c r="Z123" s="9">
        <v>0</v>
      </c>
      <c r="AA123" s="9">
        <v>0</v>
      </c>
      <c r="AB123" s="9">
        <v>0</v>
      </c>
      <c r="AC123" s="9">
        <v>0</v>
      </c>
      <c r="AD123" s="9">
        <v>0</v>
      </c>
      <c r="AE123" s="9">
        <v>0</v>
      </c>
      <c r="AF123" s="18">
        <v>0</v>
      </c>
      <c r="AG123" s="18">
        <v>0</v>
      </c>
      <c r="AH123" s="18">
        <v>0</v>
      </c>
      <c r="AI123" s="15" t="s">
        <v>122</v>
      </c>
      <c r="AJ123" s="15" t="s">
        <v>122</v>
      </c>
      <c r="AK123" s="15" t="s">
        <v>122</v>
      </c>
      <c r="AL123" s="9">
        <v>0</v>
      </c>
      <c r="AM123" s="9">
        <v>0</v>
      </c>
      <c r="AN123" s="35"/>
      <c r="AO123" s="15" t="s">
        <v>122</v>
      </c>
      <c r="AP123" s="15" t="s">
        <v>122</v>
      </c>
      <c r="AQ123" s="15"/>
      <c r="AR123" s="15"/>
      <c r="AS123" s="15"/>
      <c r="AT123" s="15"/>
      <c r="AU123" s="15"/>
      <c r="AV123" s="15"/>
      <c r="AW123" s="15"/>
      <c r="AX123" s="15"/>
      <c r="AY123" s="15"/>
      <c r="AZ123" s="16"/>
      <c r="BA123" s="16"/>
      <c r="BB123" s="15"/>
      <c r="BC123" s="15"/>
      <c r="BD123" s="15"/>
      <c r="BE123" s="15"/>
      <c r="BF123" s="15"/>
      <c r="BG123" s="15"/>
      <c r="BH123" s="15"/>
      <c r="BI123" s="10">
        <v>0</v>
      </c>
      <c r="BJ123" s="10">
        <v>0</v>
      </c>
      <c r="BK123" s="10">
        <v>0</v>
      </c>
      <c r="BL123" s="10">
        <v>0</v>
      </c>
      <c r="BM123" s="10">
        <v>0</v>
      </c>
      <c r="BN123" s="10">
        <v>0</v>
      </c>
      <c r="BO123" s="10">
        <v>0</v>
      </c>
      <c r="BP123" s="15"/>
      <c r="BQ123" s="15"/>
      <c r="BR123" s="15"/>
      <c r="BS123" s="15"/>
      <c r="BT123" s="31"/>
    </row>
    <row r="124" spans="1:72" ht="17.25" customHeight="1" x14ac:dyDescent="0.3">
      <c r="A124" s="70"/>
      <c r="B124" s="42" t="s">
        <v>89</v>
      </c>
      <c r="C124" s="13" t="s">
        <v>90</v>
      </c>
      <c r="D124" s="13">
        <v>511</v>
      </c>
      <c r="E124" s="9">
        <v>1</v>
      </c>
      <c r="F124" s="9">
        <v>1</v>
      </c>
      <c r="G124" s="9">
        <v>1</v>
      </c>
      <c r="H124" s="9">
        <v>1</v>
      </c>
      <c r="I124" s="9">
        <v>1</v>
      </c>
      <c r="J124" s="15" t="s">
        <v>122</v>
      </c>
      <c r="K124" s="15"/>
      <c r="L124" s="15"/>
      <c r="M124" s="15"/>
      <c r="N124" s="15" t="s">
        <v>122</v>
      </c>
      <c r="O124" s="15"/>
      <c r="P124" s="15"/>
      <c r="Q124" s="15"/>
      <c r="R124" s="15"/>
      <c r="S124" s="15" t="s">
        <v>122</v>
      </c>
      <c r="T124" s="15">
        <v>0</v>
      </c>
      <c r="U124" s="15" t="s">
        <v>122</v>
      </c>
      <c r="V124" s="9">
        <v>0</v>
      </c>
      <c r="W124" s="9">
        <v>0</v>
      </c>
      <c r="X124" s="9">
        <v>0</v>
      </c>
      <c r="Y124" s="9">
        <v>0</v>
      </c>
      <c r="Z124" s="9">
        <v>0</v>
      </c>
      <c r="AA124" s="9">
        <v>0</v>
      </c>
      <c r="AB124" s="9">
        <v>0</v>
      </c>
      <c r="AC124" s="9">
        <v>0</v>
      </c>
      <c r="AD124" s="9">
        <v>0</v>
      </c>
      <c r="AE124" s="9">
        <v>0</v>
      </c>
      <c r="AF124" s="18">
        <v>0</v>
      </c>
      <c r="AG124" s="18">
        <v>0</v>
      </c>
      <c r="AH124" s="18">
        <v>0</v>
      </c>
      <c r="AI124" s="15" t="s">
        <v>122</v>
      </c>
      <c r="AJ124" s="15" t="s">
        <v>122</v>
      </c>
      <c r="AK124" s="15" t="s">
        <v>122</v>
      </c>
      <c r="AL124" s="9">
        <v>0</v>
      </c>
      <c r="AM124" s="9">
        <v>0</v>
      </c>
      <c r="AN124" s="35"/>
      <c r="AO124" s="15" t="s">
        <v>122</v>
      </c>
      <c r="AP124" s="15" t="s">
        <v>122</v>
      </c>
      <c r="AQ124" s="15"/>
      <c r="AR124" s="15"/>
      <c r="AS124" s="15"/>
      <c r="AT124" s="15"/>
      <c r="AU124" s="15"/>
      <c r="AV124" s="15"/>
      <c r="AW124" s="15"/>
      <c r="AX124" s="15"/>
      <c r="AY124" s="15"/>
      <c r="AZ124" s="16"/>
      <c r="BA124" s="16"/>
      <c r="BB124" s="15"/>
      <c r="BC124" s="15"/>
      <c r="BD124" s="15"/>
      <c r="BE124" s="15"/>
      <c r="BF124" s="15"/>
      <c r="BG124" s="15"/>
      <c r="BH124" s="15"/>
      <c r="BI124" s="10">
        <v>0</v>
      </c>
      <c r="BJ124" s="10">
        <v>0</v>
      </c>
      <c r="BK124" s="10">
        <v>0</v>
      </c>
      <c r="BL124" s="10">
        <v>0</v>
      </c>
      <c r="BM124" s="10">
        <v>0</v>
      </c>
      <c r="BN124" s="10">
        <v>0</v>
      </c>
      <c r="BO124" s="10">
        <v>0</v>
      </c>
      <c r="BP124" s="15"/>
      <c r="BQ124" s="15"/>
      <c r="BR124" s="15"/>
      <c r="BS124" s="15"/>
      <c r="BT124" s="31"/>
    </row>
    <row r="125" spans="1:72" ht="17.25" customHeight="1" x14ac:dyDescent="0.3">
      <c r="A125" s="70"/>
      <c r="B125" s="42" t="s">
        <v>89</v>
      </c>
      <c r="C125" s="13" t="s">
        <v>91</v>
      </c>
      <c r="D125" s="13">
        <v>512</v>
      </c>
      <c r="E125" s="9">
        <v>1</v>
      </c>
      <c r="F125" s="9">
        <v>1</v>
      </c>
      <c r="G125" s="9">
        <v>1</v>
      </c>
      <c r="H125" s="9">
        <v>1</v>
      </c>
      <c r="I125" s="9">
        <v>1</v>
      </c>
      <c r="J125" s="15" t="s">
        <v>122</v>
      </c>
      <c r="K125" s="15"/>
      <c r="L125" s="15"/>
      <c r="M125" s="15"/>
      <c r="N125" s="15" t="s">
        <v>122</v>
      </c>
      <c r="O125" s="15"/>
      <c r="P125" s="15"/>
      <c r="Q125" s="15"/>
      <c r="R125" s="15"/>
      <c r="S125" s="15" t="s">
        <v>122</v>
      </c>
      <c r="T125" s="15">
        <v>0</v>
      </c>
      <c r="U125" s="15" t="s">
        <v>122</v>
      </c>
      <c r="V125" s="9">
        <v>0</v>
      </c>
      <c r="W125" s="9">
        <v>0</v>
      </c>
      <c r="X125" s="9">
        <v>0</v>
      </c>
      <c r="Y125" s="9">
        <v>0</v>
      </c>
      <c r="Z125" s="9">
        <v>0</v>
      </c>
      <c r="AA125" s="9">
        <v>0</v>
      </c>
      <c r="AB125" s="9">
        <v>0</v>
      </c>
      <c r="AC125" s="9">
        <v>0</v>
      </c>
      <c r="AD125" s="9">
        <v>0</v>
      </c>
      <c r="AE125" s="9">
        <v>0</v>
      </c>
      <c r="AF125" s="18">
        <v>0</v>
      </c>
      <c r="AG125" s="18">
        <v>0</v>
      </c>
      <c r="AH125" s="18">
        <v>0</v>
      </c>
      <c r="AI125" s="15" t="s">
        <v>122</v>
      </c>
      <c r="AJ125" s="15" t="s">
        <v>122</v>
      </c>
      <c r="AK125" s="15" t="s">
        <v>122</v>
      </c>
      <c r="AL125" s="9">
        <v>0</v>
      </c>
      <c r="AM125" s="9">
        <v>0</v>
      </c>
      <c r="AN125" s="35"/>
      <c r="AO125" s="15" t="s">
        <v>122</v>
      </c>
      <c r="AP125" s="15" t="s">
        <v>122</v>
      </c>
      <c r="AQ125" s="15"/>
      <c r="AR125" s="15"/>
      <c r="AS125" s="15"/>
      <c r="AT125" s="15"/>
      <c r="AU125" s="15"/>
      <c r="AV125" s="15"/>
      <c r="AW125" s="15"/>
      <c r="AX125" s="15"/>
      <c r="AY125" s="15"/>
      <c r="AZ125" s="16"/>
      <c r="BA125" s="16"/>
      <c r="BB125" s="15"/>
      <c r="BC125" s="15"/>
      <c r="BD125" s="15"/>
      <c r="BE125" s="15"/>
      <c r="BF125" s="15"/>
      <c r="BG125" s="15"/>
      <c r="BH125" s="15"/>
      <c r="BI125" s="10">
        <v>0</v>
      </c>
      <c r="BJ125" s="10">
        <v>0</v>
      </c>
      <c r="BK125" s="10">
        <v>0</v>
      </c>
      <c r="BL125" s="10">
        <v>0</v>
      </c>
      <c r="BM125" s="10">
        <v>0</v>
      </c>
      <c r="BN125" s="10">
        <v>0</v>
      </c>
      <c r="BO125" s="10">
        <v>0</v>
      </c>
      <c r="BP125" s="15"/>
      <c r="BQ125" s="15"/>
      <c r="BR125" s="15"/>
      <c r="BS125" s="15"/>
      <c r="BT125" s="31"/>
    </row>
    <row r="126" spans="1:72" ht="17.25" customHeight="1" x14ac:dyDescent="0.3">
      <c r="A126" s="70"/>
      <c r="B126" s="42" t="s">
        <v>89</v>
      </c>
      <c r="C126" s="13" t="s">
        <v>90</v>
      </c>
      <c r="D126" s="13">
        <v>513</v>
      </c>
      <c r="E126" s="9">
        <v>1</v>
      </c>
      <c r="F126" s="9">
        <v>1</v>
      </c>
      <c r="G126" s="9">
        <v>1</v>
      </c>
      <c r="H126" s="9">
        <v>1</v>
      </c>
      <c r="I126" s="9">
        <v>1</v>
      </c>
      <c r="J126" s="15" t="s">
        <v>122</v>
      </c>
      <c r="K126" s="15"/>
      <c r="L126" s="15"/>
      <c r="M126" s="15"/>
      <c r="N126" s="15" t="s">
        <v>122</v>
      </c>
      <c r="O126" s="15"/>
      <c r="P126" s="15"/>
      <c r="Q126" s="15"/>
      <c r="R126" s="15"/>
      <c r="S126" s="15" t="s">
        <v>122</v>
      </c>
      <c r="T126" s="15">
        <v>0</v>
      </c>
      <c r="U126" s="15" t="s">
        <v>122</v>
      </c>
      <c r="V126" s="9">
        <v>0</v>
      </c>
      <c r="W126" s="9">
        <v>0</v>
      </c>
      <c r="X126" s="9">
        <v>0</v>
      </c>
      <c r="Y126" s="9">
        <v>0</v>
      </c>
      <c r="Z126" s="9">
        <v>0</v>
      </c>
      <c r="AA126" s="9">
        <v>0</v>
      </c>
      <c r="AB126" s="9">
        <v>0</v>
      </c>
      <c r="AC126" s="9">
        <v>0</v>
      </c>
      <c r="AD126" s="9">
        <v>0</v>
      </c>
      <c r="AE126" s="9">
        <v>0</v>
      </c>
      <c r="AF126" s="18">
        <v>0</v>
      </c>
      <c r="AG126" s="18">
        <v>0</v>
      </c>
      <c r="AH126" s="18">
        <v>0</v>
      </c>
      <c r="AI126" s="15" t="s">
        <v>122</v>
      </c>
      <c r="AJ126" s="15" t="s">
        <v>122</v>
      </c>
      <c r="AK126" s="15" t="s">
        <v>122</v>
      </c>
      <c r="AL126" s="9">
        <v>0</v>
      </c>
      <c r="AM126" s="9">
        <v>0</v>
      </c>
      <c r="AN126" s="35"/>
      <c r="AO126" s="15" t="s">
        <v>122</v>
      </c>
      <c r="AP126" s="15" t="s">
        <v>122</v>
      </c>
      <c r="AQ126" s="15"/>
      <c r="AR126" s="15"/>
      <c r="AS126" s="15"/>
      <c r="AT126" s="15"/>
      <c r="AU126" s="15"/>
      <c r="AV126" s="15"/>
      <c r="AW126" s="15"/>
      <c r="AX126" s="15"/>
      <c r="AY126" s="15"/>
      <c r="AZ126" s="16"/>
      <c r="BA126" s="16"/>
      <c r="BB126" s="15"/>
      <c r="BC126" s="15"/>
      <c r="BD126" s="15"/>
      <c r="BE126" s="15"/>
      <c r="BF126" s="15"/>
      <c r="BG126" s="15"/>
      <c r="BH126" s="15"/>
      <c r="BI126" s="10">
        <v>0</v>
      </c>
      <c r="BJ126" s="10">
        <v>0</v>
      </c>
      <c r="BK126" s="10">
        <v>0</v>
      </c>
      <c r="BL126" s="10">
        <v>0</v>
      </c>
      <c r="BM126" s="10">
        <v>0</v>
      </c>
      <c r="BN126" s="10">
        <v>0</v>
      </c>
      <c r="BO126" s="10">
        <v>0</v>
      </c>
      <c r="BP126" s="15"/>
      <c r="BQ126" s="15"/>
      <c r="BR126" s="15"/>
      <c r="BS126" s="15"/>
      <c r="BT126" s="31"/>
    </row>
    <row r="127" spans="1:72" ht="17.25" customHeight="1" x14ac:dyDescent="0.3">
      <c r="A127" s="70"/>
      <c r="B127" s="42" t="s">
        <v>89</v>
      </c>
      <c r="C127" s="13" t="s">
        <v>93</v>
      </c>
      <c r="D127" s="13">
        <v>514</v>
      </c>
      <c r="E127" s="9">
        <v>1</v>
      </c>
      <c r="F127" s="9">
        <v>1</v>
      </c>
      <c r="G127" s="9">
        <v>1</v>
      </c>
      <c r="H127" s="9">
        <v>1</v>
      </c>
      <c r="I127" s="9">
        <v>1</v>
      </c>
      <c r="J127" s="15" t="s">
        <v>122</v>
      </c>
      <c r="K127" s="15"/>
      <c r="L127" s="15"/>
      <c r="M127" s="15"/>
      <c r="N127" s="15" t="s">
        <v>122</v>
      </c>
      <c r="O127" s="15"/>
      <c r="P127" s="15"/>
      <c r="Q127" s="15"/>
      <c r="R127" s="15"/>
      <c r="S127" s="15" t="s">
        <v>122</v>
      </c>
      <c r="T127" s="15">
        <v>0</v>
      </c>
      <c r="U127" s="15" t="s">
        <v>122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</v>
      </c>
      <c r="AB127" s="9">
        <v>0</v>
      </c>
      <c r="AC127" s="9">
        <v>0</v>
      </c>
      <c r="AD127" s="9">
        <v>0</v>
      </c>
      <c r="AE127" s="9">
        <v>0</v>
      </c>
      <c r="AF127" s="18">
        <v>0</v>
      </c>
      <c r="AG127" s="18">
        <v>0</v>
      </c>
      <c r="AH127" s="18">
        <v>0</v>
      </c>
      <c r="AI127" s="15" t="s">
        <v>122</v>
      </c>
      <c r="AJ127" s="15" t="s">
        <v>122</v>
      </c>
      <c r="AK127" s="15" t="s">
        <v>122</v>
      </c>
      <c r="AL127" s="9">
        <v>0</v>
      </c>
      <c r="AM127" s="9">
        <v>0</v>
      </c>
      <c r="AN127" s="35"/>
      <c r="AO127" s="15" t="s">
        <v>122</v>
      </c>
      <c r="AP127" s="15" t="s">
        <v>122</v>
      </c>
      <c r="AQ127" s="15"/>
      <c r="AR127" s="15"/>
      <c r="AS127" s="15"/>
      <c r="AT127" s="15"/>
      <c r="AU127" s="15"/>
      <c r="AV127" s="15"/>
      <c r="AW127" s="15"/>
      <c r="AX127" s="15"/>
      <c r="AY127" s="15"/>
      <c r="AZ127" s="16"/>
      <c r="BA127" s="16"/>
      <c r="BB127" s="15"/>
      <c r="BC127" s="15"/>
      <c r="BD127" s="15"/>
      <c r="BE127" s="15"/>
      <c r="BF127" s="15"/>
      <c r="BG127" s="15"/>
      <c r="BH127" s="15"/>
      <c r="BI127" s="10">
        <v>0</v>
      </c>
      <c r="BJ127" s="10">
        <v>0</v>
      </c>
      <c r="BK127" s="10">
        <v>0</v>
      </c>
      <c r="BL127" s="10">
        <v>0</v>
      </c>
      <c r="BM127" s="10">
        <v>0</v>
      </c>
      <c r="BN127" s="10">
        <v>0</v>
      </c>
      <c r="BO127" s="10">
        <v>0</v>
      </c>
      <c r="BP127" s="15"/>
      <c r="BQ127" s="15"/>
      <c r="BR127" s="15"/>
      <c r="BS127" s="15"/>
      <c r="BT127" s="31"/>
    </row>
    <row r="128" spans="1:72" ht="17.25" customHeight="1" x14ac:dyDescent="0.3">
      <c r="A128" s="70"/>
      <c r="B128" s="42" t="s">
        <v>89</v>
      </c>
      <c r="C128" s="13" t="s">
        <v>90</v>
      </c>
      <c r="D128" s="13">
        <v>515</v>
      </c>
      <c r="E128" s="9">
        <v>1</v>
      </c>
      <c r="F128" s="9">
        <v>1</v>
      </c>
      <c r="G128" s="9">
        <v>1</v>
      </c>
      <c r="H128" s="9">
        <v>1</v>
      </c>
      <c r="I128" s="9">
        <v>1</v>
      </c>
      <c r="J128" s="15" t="s">
        <v>122</v>
      </c>
      <c r="K128" s="15"/>
      <c r="L128" s="15"/>
      <c r="M128" s="15"/>
      <c r="N128" s="15" t="s">
        <v>122</v>
      </c>
      <c r="O128" s="15"/>
      <c r="P128" s="15"/>
      <c r="Q128" s="15"/>
      <c r="R128" s="15"/>
      <c r="S128" s="15" t="s">
        <v>122</v>
      </c>
      <c r="T128" s="15">
        <v>0</v>
      </c>
      <c r="U128" s="15" t="s">
        <v>122</v>
      </c>
      <c r="V128" s="9">
        <v>0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9">
        <v>0</v>
      </c>
      <c r="AC128" s="9">
        <v>0</v>
      </c>
      <c r="AD128" s="9">
        <v>0</v>
      </c>
      <c r="AE128" s="9">
        <v>0</v>
      </c>
      <c r="AF128" s="18">
        <v>0</v>
      </c>
      <c r="AG128" s="18">
        <v>0</v>
      </c>
      <c r="AH128" s="18">
        <v>0</v>
      </c>
      <c r="AI128" s="15" t="s">
        <v>122</v>
      </c>
      <c r="AJ128" s="15" t="s">
        <v>122</v>
      </c>
      <c r="AK128" s="15" t="s">
        <v>122</v>
      </c>
      <c r="AL128" s="9">
        <v>0</v>
      </c>
      <c r="AM128" s="9">
        <v>0</v>
      </c>
      <c r="AN128" s="35"/>
      <c r="AO128" s="15" t="s">
        <v>122</v>
      </c>
      <c r="AP128" s="15" t="s">
        <v>122</v>
      </c>
      <c r="AQ128" s="15"/>
      <c r="AR128" s="15"/>
      <c r="AS128" s="15"/>
      <c r="AT128" s="15"/>
      <c r="AU128" s="15"/>
      <c r="AV128" s="15"/>
      <c r="AW128" s="15"/>
      <c r="AX128" s="15"/>
      <c r="AY128" s="15"/>
      <c r="AZ128" s="16"/>
      <c r="BA128" s="16"/>
      <c r="BB128" s="15"/>
      <c r="BC128" s="15"/>
      <c r="BD128" s="15"/>
      <c r="BE128" s="15"/>
      <c r="BF128" s="15"/>
      <c r="BG128" s="15"/>
      <c r="BH128" s="15"/>
      <c r="BI128" s="10">
        <v>0</v>
      </c>
      <c r="BJ128" s="10">
        <v>0</v>
      </c>
      <c r="BK128" s="10">
        <v>0</v>
      </c>
      <c r="BL128" s="10">
        <v>0</v>
      </c>
      <c r="BM128" s="10">
        <v>0</v>
      </c>
      <c r="BN128" s="10">
        <v>0</v>
      </c>
      <c r="BO128" s="10">
        <v>0</v>
      </c>
      <c r="BP128" s="15"/>
      <c r="BQ128" s="15"/>
      <c r="BR128" s="15"/>
      <c r="BS128" s="15"/>
      <c r="BT128" s="31"/>
    </row>
    <row r="129" spans="1:72" ht="17.25" customHeight="1" x14ac:dyDescent="0.3">
      <c r="A129" s="70"/>
      <c r="B129" s="42" t="s">
        <v>89</v>
      </c>
      <c r="C129" s="13" t="s">
        <v>90</v>
      </c>
      <c r="D129" s="13">
        <v>516</v>
      </c>
      <c r="E129" s="9">
        <v>1</v>
      </c>
      <c r="F129" s="9">
        <v>1</v>
      </c>
      <c r="G129" s="9">
        <v>1</v>
      </c>
      <c r="H129" s="9">
        <v>1</v>
      </c>
      <c r="I129" s="9">
        <v>1</v>
      </c>
      <c r="J129" s="15" t="s">
        <v>122</v>
      </c>
      <c r="K129" s="15"/>
      <c r="L129" s="15"/>
      <c r="M129" s="15"/>
      <c r="N129" s="15" t="s">
        <v>122</v>
      </c>
      <c r="O129" s="15"/>
      <c r="P129" s="15"/>
      <c r="Q129" s="15"/>
      <c r="R129" s="15"/>
      <c r="S129" s="15" t="s">
        <v>122</v>
      </c>
      <c r="T129" s="15">
        <v>0</v>
      </c>
      <c r="U129" s="15" t="s">
        <v>122</v>
      </c>
      <c r="V129" s="9">
        <v>0</v>
      </c>
      <c r="W129" s="9">
        <v>0</v>
      </c>
      <c r="X129" s="9">
        <v>0</v>
      </c>
      <c r="Y129" s="9">
        <v>0</v>
      </c>
      <c r="Z129" s="9">
        <v>0</v>
      </c>
      <c r="AA129" s="9">
        <v>0</v>
      </c>
      <c r="AB129" s="9">
        <v>0</v>
      </c>
      <c r="AC129" s="9">
        <v>0</v>
      </c>
      <c r="AD129" s="9">
        <v>0</v>
      </c>
      <c r="AE129" s="9">
        <v>0</v>
      </c>
      <c r="AF129" s="18">
        <v>0</v>
      </c>
      <c r="AG129" s="18">
        <v>0</v>
      </c>
      <c r="AH129" s="18">
        <v>0</v>
      </c>
      <c r="AI129" s="15" t="s">
        <v>122</v>
      </c>
      <c r="AJ129" s="15" t="s">
        <v>122</v>
      </c>
      <c r="AK129" s="15" t="s">
        <v>122</v>
      </c>
      <c r="AL129" s="9">
        <v>0</v>
      </c>
      <c r="AM129" s="9">
        <v>0</v>
      </c>
      <c r="AN129" s="35"/>
      <c r="AO129" s="15" t="s">
        <v>122</v>
      </c>
      <c r="AP129" s="15" t="s">
        <v>122</v>
      </c>
      <c r="AQ129" s="15"/>
      <c r="AR129" s="15"/>
      <c r="AS129" s="15"/>
      <c r="AT129" s="15"/>
      <c r="AU129" s="15"/>
      <c r="AV129" s="15"/>
      <c r="AW129" s="15"/>
      <c r="AX129" s="15"/>
      <c r="AY129" s="15"/>
      <c r="AZ129" s="16"/>
      <c r="BA129" s="16"/>
      <c r="BB129" s="15"/>
      <c r="BC129" s="15"/>
      <c r="BD129" s="15"/>
      <c r="BE129" s="15"/>
      <c r="BF129" s="15"/>
      <c r="BG129" s="15"/>
      <c r="BH129" s="15"/>
      <c r="BI129" s="10">
        <v>0</v>
      </c>
      <c r="BJ129" s="10">
        <v>0</v>
      </c>
      <c r="BK129" s="10">
        <v>0</v>
      </c>
      <c r="BL129" s="10">
        <v>0</v>
      </c>
      <c r="BM129" s="10">
        <v>0</v>
      </c>
      <c r="BN129" s="10">
        <v>0</v>
      </c>
      <c r="BO129" s="10">
        <v>0</v>
      </c>
      <c r="BP129" s="15"/>
      <c r="BQ129" s="15"/>
      <c r="BR129" s="15"/>
      <c r="BS129" s="15"/>
      <c r="BT129" s="31"/>
    </row>
    <row r="130" spans="1:72" ht="17.25" customHeight="1" x14ac:dyDescent="0.3">
      <c r="A130" s="70"/>
      <c r="B130" s="42" t="s">
        <v>89</v>
      </c>
      <c r="C130" s="13" t="s">
        <v>91</v>
      </c>
      <c r="D130" s="13">
        <v>517</v>
      </c>
      <c r="E130" s="9">
        <v>1</v>
      </c>
      <c r="F130" s="9">
        <v>1</v>
      </c>
      <c r="G130" s="9">
        <v>1</v>
      </c>
      <c r="H130" s="9">
        <v>1</v>
      </c>
      <c r="I130" s="9">
        <v>1</v>
      </c>
      <c r="J130" s="15" t="s">
        <v>122</v>
      </c>
      <c r="K130" s="15"/>
      <c r="L130" s="15"/>
      <c r="M130" s="15"/>
      <c r="N130" s="15" t="s">
        <v>122</v>
      </c>
      <c r="O130" s="15"/>
      <c r="P130" s="15"/>
      <c r="Q130" s="15"/>
      <c r="R130" s="15"/>
      <c r="S130" s="15" t="s">
        <v>122</v>
      </c>
      <c r="T130" s="15">
        <v>0</v>
      </c>
      <c r="U130" s="15" t="s">
        <v>122</v>
      </c>
      <c r="V130" s="9">
        <v>0</v>
      </c>
      <c r="W130" s="9">
        <v>0</v>
      </c>
      <c r="X130" s="9">
        <v>0</v>
      </c>
      <c r="Y130" s="9">
        <v>0</v>
      </c>
      <c r="Z130" s="9">
        <v>0</v>
      </c>
      <c r="AA130" s="9">
        <v>0</v>
      </c>
      <c r="AB130" s="9">
        <v>0</v>
      </c>
      <c r="AC130" s="9">
        <v>0</v>
      </c>
      <c r="AD130" s="9">
        <v>0</v>
      </c>
      <c r="AE130" s="9">
        <v>0</v>
      </c>
      <c r="AF130" s="18">
        <v>0</v>
      </c>
      <c r="AG130" s="18">
        <v>0</v>
      </c>
      <c r="AH130" s="18">
        <v>0</v>
      </c>
      <c r="AI130" s="15" t="s">
        <v>122</v>
      </c>
      <c r="AJ130" s="15" t="s">
        <v>122</v>
      </c>
      <c r="AK130" s="15" t="s">
        <v>122</v>
      </c>
      <c r="AL130" s="9">
        <v>0</v>
      </c>
      <c r="AM130" s="9">
        <v>0</v>
      </c>
      <c r="AN130" s="35"/>
      <c r="AO130" s="15" t="s">
        <v>122</v>
      </c>
      <c r="AP130" s="15" t="s">
        <v>122</v>
      </c>
      <c r="AQ130" s="15"/>
      <c r="AR130" s="15"/>
      <c r="AS130" s="15"/>
      <c r="AT130" s="15"/>
      <c r="AU130" s="15"/>
      <c r="AV130" s="15"/>
      <c r="AW130" s="15"/>
      <c r="AX130" s="15"/>
      <c r="AY130" s="15"/>
      <c r="AZ130" s="16"/>
      <c r="BA130" s="16"/>
      <c r="BB130" s="15"/>
      <c r="BC130" s="15"/>
      <c r="BD130" s="15"/>
      <c r="BE130" s="15"/>
      <c r="BF130" s="15"/>
      <c r="BG130" s="15"/>
      <c r="BH130" s="15"/>
      <c r="BI130" s="10">
        <v>0</v>
      </c>
      <c r="BJ130" s="10">
        <v>0</v>
      </c>
      <c r="BK130" s="10">
        <v>0</v>
      </c>
      <c r="BL130" s="10">
        <v>0</v>
      </c>
      <c r="BM130" s="10">
        <v>0</v>
      </c>
      <c r="BN130" s="10">
        <v>0</v>
      </c>
      <c r="BO130" s="10">
        <v>0</v>
      </c>
      <c r="BP130" s="15"/>
      <c r="BQ130" s="15"/>
      <c r="BR130" s="15"/>
      <c r="BS130" s="15"/>
      <c r="BT130" s="31"/>
    </row>
    <row r="131" spans="1:72" ht="17.25" customHeight="1" x14ac:dyDescent="0.3">
      <c r="A131" s="70"/>
      <c r="B131" s="42" t="s">
        <v>89</v>
      </c>
      <c r="C131" s="13" t="s">
        <v>90</v>
      </c>
      <c r="D131" s="13">
        <v>523</v>
      </c>
      <c r="E131" s="9">
        <v>1</v>
      </c>
      <c r="F131" s="9">
        <v>1</v>
      </c>
      <c r="G131" s="9">
        <v>1</v>
      </c>
      <c r="H131" s="9">
        <v>1</v>
      </c>
      <c r="I131" s="9">
        <v>1</v>
      </c>
      <c r="J131" s="15" t="s">
        <v>122</v>
      </c>
      <c r="K131" s="15"/>
      <c r="L131" s="15"/>
      <c r="M131" s="15"/>
      <c r="N131" s="15" t="s">
        <v>122</v>
      </c>
      <c r="O131" s="15"/>
      <c r="P131" s="15"/>
      <c r="Q131" s="15"/>
      <c r="R131" s="15"/>
      <c r="S131" s="15" t="s">
        <v>122</v>
      </c>
      <c r="T131" s="15">
        <v>0</v>
      </c>
      <c r="U131" s="15" t="s">
        <v>122</v>
      </c>
      <c r="V131" s="9">
        <v>0</v>
      </c>
      <c r="W131" s="9">
        <v>0</v>
      </c>
      <c r="X131" s="9">
        <v>0</v>
      </c>
      <c r="Y131" s="9">
        <v>0</v>
      </c>
      <c r="Z131" s="9">
        <v>0</v>
      </c>
      <c r="AA131" s="9">
        <v>0</v>
      </c>
      <c r="AB131" s="9">
        <v>0</v>
      </c>
      <c r="AC131" s="9">
        <v>0</v>
      </c>
      <c r="AD131" s="9">
        <v>0</v>
      </c>
      <c r="AE131" s="9">
        <v>0</v>
      </c>
      <c r="AF131" s="18">
        <v>0</v>
      </c>
      <c r="AG131" s="18">
        <v>0</v>
      </c>
      <c r="AH131" s="18">
        <v>0</v>
      </c>
      <c r="AI131" s="15" t="s">
        <v>122</v>
      </c>
      <c r="AJ131" s="15" t="s">
        <v>122</v>
      </c>
      <c r="AK131" s="15" t="s">
        <v>122</v>
      </c>
      <c r="AL131" s="9">
        <v>0</v>
      </c>
      <c r="AM131" s="9">
        <v>0</v>
      </c>
      <c r="AN131" s="35"/>
      <c r="AO131" s="15" t="s">
        <v>122</v>
      </c>
      <c r="AP131" s="15" t="s">
        <v>122</v>
      </c>
      <c r="AQ131" s="15"/>
      <c r="AR131" s="15"/>
      <c r="AS131" s="15"/>
      <c r="AT131" s="15"/>
      <c r="AU131" s="15"/>
      <c r="AV131" s="15"/>
      <c r="AW131" s="15"/>
      <c r="AX131" s="15"/>
      <c r="AY131" s="15"/>
      <c r="AZ131" s="16"/>
      <c r="BA131" s="16"/>
      <c r="BB131" s="15"/>
      <c r="BC131" s="15"/>
      <c r="BD131" s="15"/>
      <c r="BE131" s="15"/>
      <c r="BF131" s="15"/>
      <c r="BG131" s="15"/>
      <c r="BH131" s="15"/>
      <c r="BI131" s="10">
        <v>0</v>
      </c>
      <c r="BJ131" s="10">
        <v>0</v>
      </c>
      <c r="BK131" s="10">
        <v>0</v>
      </c>
      <c r="BL131" s="10">
        <v>0</v>
      </c>
      <c r="BM131" s="10">
        <v>0</v>
      </c>
      <c r="BN131" s="10">
        <v>0</v>
      </c>
      <c r="BO131" s="10">
        <v>0</v>
      </c>
      <c r="BP131" s="15"/>
      <c r="BQ131" s="15"/>
      <c r="BR131" s="15"/>
      <c r="BS131" s="15"/>
      <c r="BT131" s="31"/>
    </row>
    <row r="132" spans="1:72" ht="17.25" customHeight="1" thickBot="1" x14ac:dyDescent="0.35">
      <c r="A132" s="71"/>
      <c r="B132" s="42" t="s">
        <v>89</v>
      </c>
      <c r="C132" s="13" t="s">
        <v>90</v>
      </c>
      <c r="D132" s="13">
        <v>524</v>
      </c>
      <c r="E132" s="9">
        <v>1</v>
      </c>
      <c r="F132" s="9">
        <v>1</v>
      </c>
      <c r="G132" s="9">
        <v>1</v>
      </c>
      <c r="H132" s="9">
        <v>1</v>
      </c>
      <c r="I132" s="9">
        <v>1</v>
      </c>
      <c r="J132" s="15" t="s">
        <v>122</v>
      </c>
      <c r="K132" s="15"/>
      <c r="L132" s="15"/>
      <c r="M132" s="15"/>
      <c r="N132" s="15" t="s">
        <v>122</v>
      </c>
      <c r="O132" s="15"/>
      <c r="P132" s="15"/>
      <c r="Q132" s="15"/>
      <c r="R132" s="15"/>
      <c r="S132" s="15" t="s">
        <v>122</v>
      </c>
      <c r="T132" s="15">
        <v>0</v>
      </c>
      <c r="U132" s="15" t="s">
        <v>122</v>
      </c>
      <c r="V132" s="9">
        <v>0</v>
      </c>
      <c r="W132" s="9">
        <v>0</v>
      </c>
      <c r="X132" s="9">
        <v>0</v>
      </c>
      <c r="Y132" s="9">
        <v>0</v>
      </c>
      <c r="Z132" s="9">
        <v>0</v>
      </c>
      <c r="AA132" s="9">
        <v>0</v>
      </c>
      <c r="AB132" s="9">
        <v>0</v>
      </c>
      <c r="AC132" s="9">
        <v>0</v>
      </c>
      <c r="AD132" s="9">
        <v>0</v>
      </c>
      <c r="AE132" s="9">
        <v>0</v>
      </c>
      <c r="AF132" s="18">
        <v>0</v>
      </c>
      <c r="AG132" s="18">
        <v>0</v>
      </c>
      <c r="AH132" s="18">
        <v>0</v>
      </c>
      <c r="AI132" s="15" t="s">
        <v>122</v>
      </c>
      <c r="AJ132" s="15" t="s">
        <v>122</v>
      </c>
      <c r="AK132" s="15" t="s">
        <v>122</v>
      </c>
      <c r="AL132" s="9">
        <v>0</v>
      </c>
      <c r="AM132" s="9">
        <v>0</v>
      </c>
      <c r="AN132" s="37"/>
      <c r="AO132" s="15" t="s">
        <v>122</v>
      </c>
      <c r="AP132" s="15" t="s">
        <v>122</v>
      </c>
      <c r="AQ132" s="38"/>
      <c r="AR132" s="38"/>
      <c r="AS132" s="38"/>
      <c r="AT132" s="38"/>
      <c r="AU132" s="38"/>
      <c r="AV132" s="38"/>
      <c r="AW132" s="38"/>
      <c r="AX132" s="38"/>
      <c r="AY132" s="38"/>
      <c r="AZ132" s="39"/>
      <c r="BA132" s="39"/>
      <c r="BB132" s="38"/>
      <c r="BC132" s="38"/>
      <c r="BD132" s="38"/>
      <c r="BE132" s="38"/>
      <c r="BF132" s="38"/>
      <c r="BG132" s="38"/>
      <c r="BH132" s="38"/>
      <c r="BI132" s="10">
        <v>0</v>
      </c>
      <c r="BJ132" s="10">
        <v>0</v>
      </c>
      <c r="BK132" s="10">
        <v>0</v>
      </c>
      <c r="BL132" s="10">
        <v>0</v>
      </c>
      <c r="BM132" s="10">
        <v>0</v>
      </c>
      <c r="BN132" s="10">
        <v>0</v>
      </c>
      <c r="BO132" s="10">
        <v>0</v>
      </c>
      <c r="BP132" s="38"/>
      <c r="BQ132" s="38"/>
      <c r="BR132" s="38"/>
      <c r="BS132" s="38"/>
      <c r="BT132" s="40"/>
    </row>
    <row r="133" spans="1:72" ht="17.25" customHeight="1" x14ac:dyDescent="0.3"/>
  </sheetData>
  <mergeCells count="27">
    <mergeCell ref="A1:D1"/>
    <mergeCell ref="BI3:BJ3"/>
    <mergeCell ref="AL3:AM3"/>
    <mergeCell ref="A109:A132"/>
    <mergeCell ref="E3:G3"/>
    <mergeCell ref="E2:AM2"/>
    <mergeCell ref="AN2:BT2"/>
    <mergeCell ref="A3:D3"/>
    <mergeCell ref="AS3:AZ3"/>
    <mergeCell ref="A2:D2"/>
    <mergeCell ref="L3:N3"/>
    <mergeCell ref="AO3:AQ3"/>
    <mergeCell ref="AB3:AC3"/>
    <mergeCell ref="I3:K3"/>
    <mergeCell ref="A5:A44"/>
    <mergeCell ref="A45:A84"/>
    <mergeCell ref="BS3:BT3"/>
    <mergeCell ref="BA3:BC3"/>
    <mergeCell ref="BK3:BM3"/>
    <mergeCell ref="BN3:BO3"/>
    <mergeCell ref="BE3:BH3"/>
    <mergeCell ref="BP3:BR3"/>
    <mergeCell ref="Y3:Z3"/>
    <mergeCell ref="Q3:W3"/>
    <mergeCell ref="AI3:AK3"/>
    <mergeCell ref="AD3:AE3"/>
    <mergeCell ref="A85:A108"/>
  </mergeCells>
  <conditionalFormatting sqref="E5:BT132">
    <cfRule type="dataBar" priority="3">
      <dataBar>
        <cfvo type="num" val="0"/>
        <cfvo type="num" val="1"/>
        <color rgb="FF63C384"/>
      </dataBar>
    </cfRule>
    <cfRule type="colorScale" priority="4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ageMargins left="0.7" right="0.7" top="0.75" bottom="0.75" header="0.3" footer="0.3"/>
  <pageSetup paperSize="9" scale="10" orientation="portrait" r:id="rId1"/>
  <colBreaks count="1" manualBreakCount="1">
    <brk id="68" max="131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-0.249977111117893"/>
  </sheetPr>
  <dimension ref="A1:W43"/>
  <sheetViews>
    <sheetView showGridLines="0" view="pageBreakPreview" zoomScale="90" zoomScaleNormal="100" zoomScaleSheetLayoutView="90" workbookViewId="0">
      <selection activeCell="R11" sqref="R11:V11"/>
    </sheetView>
  </sheetViews>
  <sheetFormatPr baseColWidth="10" defaultColWidth="8.88671875" defaultRowHeight="14.4" x14ac:dyDescent="0.3"/>
  <cols>
    <col min="1" max="1" width="5.6640625" style="55" customWidth="1"/>
    <col min="2" max="6" width="9" customWidth="1"/>
    <col min="7" max="7" width="5.21875" style="55" customWidth="1"/>
    <col min="8" max="8" width="11" customWidth="1"/>
    <col min="9" max="9" width="7.109375" style="55" customWidth="1"/>
    <col min="10" max="14" width="9" customWidth="1"/>
    <col min="15" max="15" width="6.6640625" style="55" customWidth="1"/>
    <col min="16" max="16" width="11" customWidth="1"/>
    <col min="17" max="17" width="6" customWidth="1"/>
    <col min="18" max="18" width="11" customWidth="1"/>
    <col min="23" max="23" width="6.5546875" customWidth="1"/>
  </cols>
  <sheetData>
    <row r="1" spans="1:23" ht="30" customHeight="1" x14ac:dyDescent="0.3">
      <c r="A1" s="91" t="s">
        <v>98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</row>
    <row r="2" spans="1:23" ht="15" thickBot="1" x14ac:dyDescent="0.35"/>
    <row r="3" spans="1:23" ht="24" customHeight="1" x14ac:dyDescent="0.3">
      <c r="A3" s="88" t="s">
        <v>99</v>
      </c>
      <c r="B3" s="89"/>
      <c r="C3" s="89"/>
      <c r="D3" s="89"/>
      <c r="E3" s="89"/>
      <c r="F3" s="89"/>
      <c r="G3" s="90"/>
      <c r="I3" s="88" t="s">
        <v>100</v>
      </c>
      <c r="J3" s="89"/>
      <c r="K3" s="89"/>
      <c r="L3" s="89"/>
      <c r="M3" s="89"/>
      <c r="N3" s="89"/>
      <c r="O3" s="90"/>
      <c r="Q3" s="88" t="s">
        <v>101</v>
      </c>
      <c r="R3" s="89"/>
      <c r="S3" s="89"/>
      <c r="T3" s="89"/>
      <c r="U3" s="89"/>
      <c r="V3" s="89"/>
      <c r="W3" s="90"/>
    </row>
    <row r="4" spans="1:23" ht="18" customHeight="1" x14ac:dyDescent="0.3">
      <c r="A4" s="56" t="s">
        <v>88</v>
      </c>
      <c r="B4" s="85">
        <f>IFERROR(SUM('Suivi des Chambres'!E5:G44)/(COUNT('Suivi des Chambres'!$D$5:$D$44)*COLUMNS('Suivi des Chambres'!E:G)),0)</f>
        <v>1</v>
      </c>
      <c r="C4" s="86"/>
      <c r="D4" s="86"/>
      <c r="E4" s="86"/>
      <c r="F4" s="87"/>
      <c r="G4" s="59">
        <f>B4</f>
        <v>1</v>
      </c>
      <c r="I4" s="56" t="s">
        <v>88</v>
      </c>
      <c r="J4" s="85">
        <f>IFERROR(SUM('Suivi des Chambres'!H5:H44)/(COUNT('Suivi des Chambres'!$D$5:$D$44)*COLUMNS('Suivi des Chambres'!H:H)),0)</f>
        <v>1</v>
      </c>
      <c r="K4" s="86"/>
      <c r="L4" s="86"/>
      <c r="M4" s="86"/>
      <c r="N4" s="87"/>
      <c r="O4" s="59">
        <f>J4</f>
        <v>1</v>
      </c>
      <c r="Q4" s="56" t="s">
        <v>88</v>
      </c>
      <c r="R4" s="85">
        <f>IFERROR(SUM('Suivi des Chambres'!I5:K44)/(COUNT('Suivi des Chambres'!$D$5:$D$44)*COLUMNS('Suivi des Chambres'!I:K)),0)</f>
        <v>0.36083333333333328</v>
      </c>
      <c r="S4" s="86"/>
      <c r="T4" s="86"/>
      <c r="U4" s="86"/>
      <c r="V4" s="87"/>
      <c r="W4" s="59">
        <f>R4</f>
        <v>0.36083333333333328</v>
      </c>
    </row>
    <row r="5" spans="1:23" ht="18" customHeight="1" x14ac:dyDescent="0.3">
      <c r="A5" s="56" t="s">
        <v>95</v>
      </c>
      <c r="B5" s="85">
        <f>IFERROR(SUM('Suivi des Chambres'!E45:G84)/(COUNT('Suivi des Chambres'!$D$45:$D$84)*COLUMNS('Suivi des Chambres'!E:G)),0)</f>
        <v>1</v>
      </c>
      <c r="C5" s="86"/>
      <c r="D5" s="86"/>
      <c r="E5" s="86"/>
      <c r="F5" s="87"/>
      <c r="G5" s="59">
        <f>B5</f>
        <v>1</v>
      </c>
      <c r="I5" s="56" t="s">
        <v>95</v>
      </c>
      <c r="J5" s="85">
        <f>IFERROR(SUM('Suivi des Chambres'!H45:H84)/(COUNT('Suivi des Chambres'!$D$45:$D$84)*COLUMNS('Suivi des Chambres'!H:H)),0)</f>
        <v>1</v>
      </c>
      <c r="K5" s="86"/>
      <c r="L5" s="86"/>
      <c r="M5" s="86"/>
      <c r="N5" s="87"/>
      <c r="O5" s="59">
        <f>J5</f>
        <v>1</v>
      </c>
      <c r="Q5" s="56" t="s">
        <v>95</v>
      </c>
      <c r="R5" s="85">
        <f>IFERROR(SUM('Suivi des Chambres'!I45:K84)/(COUNT('Suivi des Chambres'!$D$45:$D$84)*COLUMNS('Suivi des Chambres'!I:K)),0)</f>
        <v>0.33333333333333331</v>
      </c>
      <c r="S5" s="86"/>
      <c r="T5" s="86"/>
      <c r="U5" s="86"/>
      <c r="V5" s="87"/>
      <c r="W5" s="59">
        <f>R5</f>
        <v>0.33333333333333331</v>
      </c>
    </row>
    <row r="6" spans="1:23" ht="18" customHeight="1" x14ac:dyDescent="0.3">
      <c r="A6" s="56" t="s">
        <v>96</v>
      </c>
      <c r="B6" s="85">
        <f>IFERROR(SUM('Suivi des Chambres'!E85:G108)/(COUNT('Suivi des Chambres'!$D$85:$D$108)*COLUMNS('Suivi des Chambres'!E:G)),0)</f>
        <v>1</v>
      </c>
      <c r="C6" s="86"/>
      <c r="D6" s="86"/>
      <c r="E6" s="86"/>
      <c r="F6" s="87"/>
      <c r="G6" s="59">
        <f>B6</f>
        <v>1</v>
      </c>
      <c r="I6" s="56" t="s">
        <v>96</v>
      </c>
      <c r="J6" s="85">
        <f>IFERROR(SUM('Suivi des Chambres'!H85:H108)/(COUNT('Suivi des Chambres'!$D$85:$D$108)*COLUMNS('Suivi des Chambres'!H:H)),0)</f>
        <v>1</v>
      </c>
      <c r="K6" s="86"/>
      <c r="L6" s="86"/>
      <c r="M6" s="86"/>
      <c r="N6" s="87"/>
      <c r="O6" s="59">
        <f>J6</f>
        <v>1</v>
      </c>
      <c r="Q6" s="56" t="s">
        <v>96</v>
      </c>
      <c r="R6" s="85">
        <f>IFERROR(SUM('Suivi des Chambres'!I85:K108)/(COUNT('Suivi des Chambres'!$D$85:$D$108)*COLUMNS('Suivi des Chambres'!I:K)),0)</f>
        <v>0.33333333333333331</v>
      </c>
      <c r="S6" s="86"/>
      <c r="T6" s="86"/>
      <c r="U6" s="86"/>
      <c r="V6" s="87"/>
      <c r="W6" s="59">
        <f>R6</f>
        <v>0.33333333333333331</v>
      </c>
    </row>
    <row r="7" spans="1:23" ht="18" customHeight="1" thickBot="1" x14ac:dyDescent="0.35">
      <c r="A7" s="57" t="s">
        <v>97</v>
      </c>
      <c r="B7" s="82">
        <f>IFERROR(SUM('Suivi des Chambres'!E109:G132)/(COUNT('Suivi des Chambres'!$D$109:$D$132)*COLUMNS('Suivi des Chambres'!E:G)),0)</f>
        <v>1</v>
      </c>
      <c r="C7" s="83"/>
      <c r="D7" s="83"/>
      <c r="E7" s="83"/>
      <c r="F7" s="84"/>
      <c r="G7" s="60">
        <f>B7</f>
        <v>1</v>
      </c>
      <c r="I7" s="57" t="s">
        <v>97</v>
      </c>
      <c r="J7" s="82">
        <f>IFERROR(SUM('Suivi des Chambres'!H109:H132)/(COUNT('Suivi des Chambres'!$D$109:$D$132)*COLUMNS('Suivi des Chambres'!H:H)),0)</f>
        <v>1</v>
      </c>
      <c r="K7" s="83"/>
      <c r="L7" s="83"/>
      <c r="M7" s="83"/>
      <c r="N7" s="84"/>
      <c r="O7" s="60">
        <f>J7</f>
        <v>1</v>
      </c>
      <c r="Q7" s="57" t="s">
        <v>97</v>
      </c>
      <c r="R7" s="82">
        <f>IFERROR(SUM('Suivi des Chambres'!I109:K132)/(COUNT('Suivi des Chambres'!$D$109:$D$132)*COLUMNS('Suivi des Chambres'!I:K)),0)</f>
        <v>0.33333333333333331</v>
      </c>
      <c r="S7" s="83"/>
      <c r="T7" s="83"/>
      <c r="U7" s="83"/>
      <c r="V7" s="84"/>
      <c r="W7" s="60">
        <f>R7</f>
        <v>0.33333333333333331</v>
      </c>
    </row>
    <row r="8" spans="1:23" ht="15" thickBot="1" x14ac:dyDescent="0.35"/>
    <row r="9" spans="1:23" ht="24" customHeight="1" x14ac:dyDescent="0.3">
      <c r="A9" s="88" t="s">
        <v>102</v>
      </c>
      <c r="B9" s="89"/>
      <c r="C9" s="89"/>
      <c r="D9" s="89"/>
      <c r="E9" s="89"/>
      <c r="F9" s="89"/>
      <c r="G9" s="90"/>
      <c r="I9" s="88" t="s">
        <v>103</v>
      </c>
      <c r="J9" s="89"/>
      <c r="K9" s="89"/>
      <c r="L9" s="89"/>
      <c r="M9" s="89"/>
      <c r="N9" s="89"/>
      <c r="O9" s="90"/>
      <c r="Q9" s="88" t="s">
        <v>104</v>
      </c>
      <c r="R9" s="89"/>
      <c r="S9" s="89"/>
      <c r="T9" s="89"/>
      <c r="U9" s="89"/>
      <c r="V9" s="89"/>
      <c r="W9" s="90"/>
    </row>
    <row r="10" spans="1:23" ht="18" customHeight="1" x14ac:dyDescent="0.3">
      <c r="A10" s="56" t="s">
        <v>88</v>
      </c>
      <c r="B10" s="85">
        <f>IFERROR(SUM('Suivi des Chambres'!L5:N44)/(COUNT('Suivi des Chambres'!$D$5:$D$44)*COLUMNS('Suivi des Chambres'!L:N)),0)</f>
        <v>0.55000000000000004</v>
      </c>
      <c r="C10" s="86"/>
      <c r="D10" s="86"/>
      <c r="E10" s="86"/>
      <c r="F10" s="87"/>
      <c r="G10" s="59">
        <f>B10</f>
        <v>0.55000000000000004</v>
      </c>
      <c r="I10" s="56" t="s">
        <v>88</v>
      </c>
      <c r="J10" s="85">
        <f>IFERROR(SUM('Suivi des Chambres'!O5:O44)/(COUNT('Suivi des Chambres'!$D$5:$D$44)*COLUMNS('Suivi des Chambres'!O:O)),0)</f>
        <v>0.59000000000000008</v>
      </c>
      <c r="K10" s="86"/>
      <c r="L10" s="86"/>
      <c r="M10" s="86"/>
      <c r="N10" s="87"/>
      <c r="O10" s="59">
        <f>J10</f>
        <v>0.59000000000000008</v>
      </c>
      <c r="Q10" s="56" t="s">
        <v>88</v>
      </c>
      <c r="R10" s="85">
        <f>IFERROR(SUM('Suivi des Chambres'!P5:P44)/(COUNT('Suivi des Chambres'!$D$5:$D$44)*COLUMNS('Suivi des Chambres'!P:P)),0)</f>
        <v>0.60250000000000004</v>
      </c>
      <c r="S10" s="86"/>
      <c r="T10" s="86"/>
      <c r="U10" s="86"/>
      <c r="V10" s="87"/>
      <c r="W10" s="59">
        <f>R10</f>
        <v>0.60250000000000004</v>
      </c>
    </row>
    <row r="11" spans="1:23" ht="18" customHeight="1" x14ac:dyDescent="0.3">
      <c r="A11" s="56" t="s">
        <v>95</v>
      </c>
      <c r="B11" s="85">
        <f>IFERROR(SUM('Suivi des Chambres'!L45:N84)/(COUNT('Suivi des Chambres'!$D$45:$D$84)*COLUMNS('Suivi des Chambres'!L:N)),0)</f>
        <v>0.45416666666666666</v>
      </c>
      <c r="C11" s="86"/>
      <c r="D11" s="86"/>
      <c r="E11" s="86"/>
      <c r="F11" s="87"/>
      <c r="G11" s="59">
        <f>B11</f>
        <v>0.45416666666666666</v>
      </c>
      <c r="I11" s="56" t="s">
        <v>95</v>
      </c>
      <c r="J11" s="85">
        <f>IFERROR(SUM('Suivi des Chambres'!O45:O84)/(COUNT('Suivi des Chambres'!$D$45:$D$84)*COLUMNS('Suivi des Chambres'!O:O)),0)</f>
        <v>0.57499999999999996</v>
      </c>
      <c r="K11" s="86"/>
      <c r="L11" s="86"/>
      <c r="M11" s="86"/>
      <c r="N11" s="87"/>
      <c r="O11" s="59">
        <f>J11</f>
        <v>0.57499999999999996</v>
      </c>
      <c r="Q11" s="56" t="s">
        <v>95</v>
      </c>
      <c r="R11" s="85">
        <f>IFERROR(SUM('Suivi des Chambres'!P45:P84)/(COUNT('Suivi des Chambres'!$D$45:$D$84)*COLUMNS('Suivi des Chambres'!P:P)),0)</f>
        <v>0.375</v>
      </c>
      <c r="S11" s="86"/>
      <c r="T11" s="86"/>
      <c r="U11" s="86"/>
      <c r="V11" s="87"/>
      <c r="W11" s="59">
        <f>R11</f>
        <v>0.375</v>
      </c>
    </row>
    <row r="12" spans="1:23" ht="18" customHeight="1" x14ac:dyDescent="0.3">
      <c r="A12" s="56" t="s">
        <v>96</v>
      </c>
      <c r="B12" s="85">
        <f>IFERROR(SUM('Suivi des Chambres'!L85:N108)/(COUNT('Suivi des Chambres'!$D$85:$D$108)*COLUMNS('Suivi des Chambres'!L:N)),0)</f>
        <v>0</v>
      </c>
      <c r="C12" s="86"/>
      <c r="D12" s="86"/>
      <c r="E12" s="86"/>
      <c r="F12" s="87"/>
      <c r="G12" s="59">
        <f>B12</f>
        <v>0</v>
      </c>
      <c r="I12" s="56" t="s">
        <v>96</v>
      </c>
      <c r="J12" s="85">
        <f>IFERROR(SUM('Suivi des Chambres'!O85:O108)/(COUNT('Suivi des Chambres'!$D$85:$D$108)*COLUMNS('Suivi des Chambres'!O:O)),0)</f>
        <v>0</v>
      </c>
      <c r="K12" s="86"/>
      <c r="L12" s="86"/>
      <c r="M12" s="86"/>
      <c r="N12" s="87"/>
      <c r="O12" s="59">
        <f>J12</f>
        <v>0</v>
      </c>
      <c r="Q12" s="56" t="s">
        <v>96</v>
      </c>
      <c r="R12" s="85">
        <f>IFERROR(SUM('Suivi des Chambres'!P85:P108)/(COUNT('Suivi des Chambres'!$D$85:$D$108)*COLUMNS('Suivi des Chambres'!P:P)),0)</f>
        <v>0</v>
      </c>
      <c r="S12" s="86"/>
      <c r="T12" s="86"/>
      <c r="U12" s="86"/>
      <c r="V12" s="87"/>
      <c r="W12" s="59">
        <f>R12</f>
        <v>0</v>
      </c>
    </row>
    <row r="13" spans="1:23" ht="18" customHeight="1" thickBot="1" x14ac:dyDescent="0.35">
      <c r="A13" s="57" t="s">
        <v>97</v>
      </c>
      <c r="B13" s="82">
        <f>IFERROR(SUM('Suivi des Chambres'!L109:N132)/(COUNT('Suivi des Chambres'!$D$109:$D$132)*COLUMNS('Suivi des Chambres'!L:N)),0)</f>
        <v>0</v>
      </c>
      <c r="C13" s="83"/>
      <c r="D13" s="83"/>
      <c r="E13" s="83"/>
      <c r="F13" s="84"/>
      <c r="G13" s="60">
        <f>B13</f>
        <v>0</v>
      </c>
      <c r="I13" s="57" t="s">
        <v>97</v>
      </c>
      <c r="J13" s="82">
        <f>IFERROR(SUM('Suivi des Chambres'!O109:O132)/(COUNT('Suivi des Chambres'!$D$109:$D$132)*COLUMNS('Suivi des Chambres'!O:O)),0)</f>
        <v>0</v>
      </c>
      <c r="K13" s="83"/>
      <c r="L13" s="83"/>
      <c r="M13" s="83"/>
      <c r="N13" s="84"/>
      <c r="O13" s="60">
        <f>J13</f>
        <v>0</v>
      </c>
      <c r="Q13" s="57" t="s">
        <v>97</v>
      </c>
      <c r="R13" s="82">
        <f>IFERROR(SUM('Suivi des Chambres'!P109:P132)/(COUNT('Suivi des Chambres'!$D$109:$D$132)*COLUMNS('Suivi des Chambres'!P:P)),0)</f>
        <v>0</v>
      </c>
      <c r="S13" s="83"/>
      <c r="T13" s="83"/>
      <c r="U13" s="83"/>
      <c r="V13" s="84"/>
      <c r="W13" s="60">
        <f>R13</f>
        <v>0</v>
      </c>
    </row>
    <row r="14" spans="1:23" ht="15" thickBot="1" x14ac:dyDescent="0.35"/>
    <row r="15" spans="1:23" ht="24" customHeight="1" x14ac:dyDescent="0.3">
      <c r="A15" s="88" t="s">
        <v>105</v>
      </c>
      <c r="B15" s="89"/>
      <c r="C15" s="89"/>
      <c r="D15" s="89"/>
      <c r="E15" s="89"/>
      <c r="F15" s="89"/>
      <c r="G15" s="90"/>
      <c r="I15" s="88" t="s">
        <v>106</v>
      </c>
      <c r="J15" s="89"/>
      <c r="K15" s="89"/>
      <c r="L15" s="89"/>
      <c r="M15" s="89"/>
      <c r="N15" s="89"/>
      <c r="O15" s="90"/>
      <c r="Q15" s="88" t="s">
        <v>107</v>
      </c>
      <c r="R15" s="89"/>
      <c r="S15" s="89"/>
      <c r="T15" s="89"/>
      <c r="U15" s="89"/>
      <c r="V15" s="89"/>
      <c r="W15" s="90"/>
    </row>
    <row r="16" spans="1:23" ht="18" customHeight="1" x14ac:dyDescent="0.3">
      <c r="A16" s="56" t="s">
        <v>88</v>
      </c>
      <c r="B16" s="85">
        <f>IFERROR(SUM('Suivi des Chambres'!Q5:W44)/(COUNT('Suivi des Chambres'!$D$5:$D$44)*COLUMNS('Suivi des Chambres'!Q:W)),0)</f>
        <v>0.15</v>
      </c>
      <c r="C16" s="86"/>
      <c r="D16" s="86"/>
      <c r="E16" s="86"/>
      <c r="F16" s="87"/>
      <c r="G16" s="59">
        <f>B16</f>
        <v>0.15</v>
      </c>
      <c r="I16" s="56" t="s">
        <v>88</v>
      </c>
      <c r="J16" s="85">
        <f>IFERROR(SUM('Suivi des Chambres'!X5:X44)/(COUNT('Suivi des Chambres'!$D$5:$D$44)*COLUMNS('Suivi des Chambres'!X:X)),0)</f>
        <v>0.05</v>
      </c>
      <c r="K16" s="86"/>
      <c r="L16" s="86"/>
      <c r="M16" s="86"/>
      <c r="N16" s="87"/>
      <c r="O16" s="59">
        <f>J16</f>
        <v>0.05</v>
      </c>
      <c r="Q16" s="56" t="s">
        <v>88</v>
      </c>
      <c r="R16" s="85">
        <f>IFERROR(SUM('Suivi des Chambres'!Y5:Z44)/(COUNT('Suivi des Chambres'!$D$5:$D$44)*COLUMNS('Suivi des Chambres'!Y:Z)),0)</f>
        <v>0.05</v>
      </c>
      <c r="S16" s="86"/>
      <c r="T16" s="86"/>
      <c r="U16" s="86"/>
      <c r="V16" s="87"/>
      <c r="W16" s="59">
        <f>R16</f>
        <v>0.05</v>
      </c>
    </row>
    <row r="17" spans="1:23" ht="18" customHeight="1" x14ac:dyDescent="0.3">
      <c r="A17" s="56" t="s">
        <v>95</v>
      </c>
      <c r="B17" s="85">
        <f>IFERROR(SUM('Suivi des Chambres'!Q45:W84)/(COUNT('Suivi des Chambres'!$D$45:$D$84)*COLUMNS('Suivi des Chambres'!Q:W)),0)</f>
        <v>0.14285714285714285</v>
      </c>
      <c r="C17" s="86"/>
      <c r="D17" s="86"/>
      <c r="E17" s="86"/>
      <c r="F17" s="87"/>
      <c r="G17" s="59">
        <f>B17</f>
        <v>0.14285714285714285</v>
      </c>
      <c r="I17" s="56" t="s">
        <v>95</v>
      </c>
      <c r="J17" s="85">
        <f>IFERROR(SUM('Suivi des Chambres'!X45:X84)/(COUNT('Suivi des Chambres'!$D$45:$D$84)*COLUMNS('Suivi des Chambres'!X:X)),0)</f>
        <v>0</v>
      </c>
      <c r="K17" s="86"/>
      <c r="L17" s="86"/>
      <c r="M17" s="86"/>
      <c r="N17" s="87"/>
      <c r="O17" s="59">
        <f>J17</f>
        <v>0</v>
      </c>
      <c r="Q17" s="56" t="s">
        <v>95</v>
      </c>
      <c r="R17" s="85">
        <f>IFERROR(SUM('Suivi des Chambres'!Y45:Z84)/(COUNT('Suivi des Chambres'!$D$45:$D$84)*COLUMNS('Suivi des Chambres'!Y:Z)),0)</f>
        <v>0</v>
      </c>
      <c r="S17" s="86"/>
      <c r="T17" s="86"/>
      <c r="U17" s="86"/>
      <c r="V17" s="87"/>
      <c r="W17" s="59">
        <f>R17</f>
        <v>0</v>
      </c>
    </row>
    <row r="18" spans="1:23" ht="18" customHeight="1" x14ac:dyDescent="0.3">
      <c r="A18" s="56" t="s">
        <v>96</v>
      </c>
      <c r="B18" s="85">
        <f>IFERROR(SUM('Suivi des Chambres'!Q85:W108)/(COUNT('Suivi des Chambres'!$D$85:$D$108)*COLUMNS('Suivi des Chambres'!Q:W)),0)</f>
        <v>0</v>
      </c>
      <c r="C18" s="86"/>
      <c r="D18" s="86"/>
      <c r="E18" s="86"/>
      <c r="F18" s="87"/>
      <c r="G18" s="59">
        <f>B18</f>
        <v>0</v>
      </c>
      <c r="I18" s="56" t="s">
        <v>96</v>
      </c>
      <c r="J18" s="85">
        <f>IFERROR(SUM('Suivi des Chambres'!X85:X108)/(COUNT('Suivi des Chambres'!$D$85:$D$108)*COLUMNS('Suivi des Chambres'!X:X)),0)</f>
        <v>0</v>
      </c>
      <c r="K18" s="86"/>
      <c r="L18" s="86"/>
      <c r="M18" s="86"/>
      <c r="N18" s="87"/>
      <c r="O18" s="59">
        <f>J18</f>
        <v>0</v>
      </c>
      <c r="Q18" s="56" t="s">
        <v>96</v>
      </c>
      <c r="R18" s="85">
        <f>IFERROR(SUM('Suivi des Chambres'!Y85:Z108)/(COUNT('Suivi des Chambres'!$D$85:$D$108)*COLUMNS('Suivi des Chambres'!Y:Z)),0)</f>
        <v>0</v>
      </c>
      <c r="S18" s="86"/>
      <c r="T18" s="86"/>
      <c r="U18" s="86"/>
      <c r="V18" s="87"/>
      <c r="W18" s="59">
        <f>R18</f>
        <v>0</v>
      </c>
    </row>
    <row r="19" spans="1:23" ht="18" customHeight="1" thickBot="1" x14ac:dyDescent="0.35">
      <c r="A19" s="57" t="s">
        <v>97</v>
      </c>
      <c r="B19" s="82">
        <f>IFERROR(SUM('Suivi des Chambres'!Q109:W132)/(COUNT('Suivi des Chambres'!$D$109:$D$132)*COLUMNS('Suivi des Chambres'!Q:W)),0)</f>
        <v>0</v>
      </c>
      <c r="C19" s="83"/>
      <c r="D19" s="83"/>
      <c r="E19" s="83"/>
      <c r="F19" s="84"/>
      <c r="G19" s="60">
        <f>B19</f>
        <v>0</v>
      </c>
      <c r="I19" s="57" t="s">
        <v>97</v>
      </c>
      <c r="J19" s="82">
        <f>IFERROR(SUM('Suivi des Chambres'!X109:X132)/(COUNT('Suivi des Chambres'!$D$109:$D$132)*COLUMNS('Suivi des Chambres'!X:X)),0)</f>
        <v>0</v>
      </c>
      <c r="K19" s="83"/>
      <c r="L19" s="83"/>
      <c r="M19" s="83"/>
      <c r="N19" s="84"/>
      <c r="O19" s="60">
        <f>J19</f>
        <v>0</v>
      </c>
      <c r="Q19" s="57" t="s">
        <v>97</v>
      </c>
      <c r="R19" s="82">
        <f>IFERROR(SUM('Suivi des Chambres'!Y109:Z132)/(COUNT('Suivi des Chambres'!$D$109:$D$132)*COLUMNS('Suivi des Chambres'!Y:Z)),0)</f>
        <v>0</v>
      </c>
      <c r="S19" s="83"/>
      <c r="T19" s="83"/>
      <c r="U19" s="83"/>
      <c r="V19" s="84"/>
      <c r="W19" s="60">
        <f>R19</f>
        <v>0</v>
      </c>
    </row>
    <row r="20" spans="1:23" ht="15" thickBot="1" x14ac:dyDescent="0.35"/>
    <row r="21" spans="1:23" ht="24" customHeight="1" x14ac:dyDescent="0.3">
      <c r="A21" s="88" t="s">
        <v>108</v>
      </c>
      <c r="B21" s="89"/>
      <c r="C21" s="89"/>
      <c r="D21" s="89"/>
      <c r="E21" s="89"/>
      <c r="F21" s="89"/>
      <c r="G21" s="90"/>
      <c r="I21" s="88" t="s">
        <v>109</v>
      </c>
      <c r="J21" s="89"/>
      <c r="K21" s="89"/>
      <c r="L21" s="89"/>
      <c r="M21" s="89"/>
      <c r="N21" s="89"/>
      <c r="O21" s="90"/>
      <c r="Q21" s="88" t="s">
        <v>110</v>
      </c>
      <c r="R21" s="89"/>
      <c r="S21" s="89"/>
      <c r="T21" s="89"/>
      <c r="U21" s="89"/>
      <c r="V21" s="89"/>
      <c r="W21" s="90"/>
    </row>
    <row r="22" spans="1:23" ht="18" customHeight="1" x14ac:dyDescent="0.3">
      <c r="A22" s="56" t="s">
        <v>88</v>
      </c>
      <c r="B22" s="85">
        <f>IFERROR(SUM('Suivi des Chambres'!AA5:AA44)/(COUNT('Suivi des Chambres'!$D$5:$D$44)*COLUMNS('Suivi des Chambres'!AA:AA)),0)</f>
        <v>0.05</v>
      </c>
      <c r="C22" s="86"/>
      <c r="D22" s="86"/>
      <c r="E22" s="86"/>
      <c r="F22" s="87"/>
      <c r="G22" s="59">
        <f>B22</f>
        <v>0.05</v>
      </c>
      <c r="I22" s="56" t="s">
        <v>88</v>
      </c>
      <c r="J22" s="85">
        <f>IFERROR(SUM('Suivi des Chambres'!AB5:AC44)/(COUNT('Suivi des Chambres'!$D$5:$D$44)*COLUMNS('Suivi des Chambres'!AB:AC)),0)</f>
        <v>0</v>
      </c>
      <c r="K22" s="86"/>
      <c r="L22" s="86"/>
      <c r="M22" s="86"/>
      <c r="N22" s="87"/>
      <c r="O22" s="59">
        <f>J22</f>
        <v>0</v>
      </c>
      <c r="Q22" s="56" t="s">
        <v>88</v>
      </c>
      <c r="R22" s="85">
        <f>IFERROR(SUM('Suivi des Chambres'!AD5:AE44)/(COUNT('Suivi des Chambres'!$D$5:$D$44)*COLUMNS('Suivi des Chambres'!AD:AE)),0)</f>
        <v>0.05</v>
      </c>
      <c r="S22" s="86"/>
      <c r="T22" s="86"/>
      <c r="U22" s="86"/>
      <c r="V22" s="87"/>
      <c r="W22" s="59">
        <f>R22</f>
        <v>0.05</v>
      </c>
    </row>
    <row r="23" spans="1:23" ht="18" customHeight="1" x14ac:dyDescent="0.3">
      <c r="A23" s="56" t="s">
        <v>95</v>
      </c>
      <c r="B23" s="85">
        <f>IFERROR(SUM('Suivi des Chambres'!AA45:AA84)/(COUNT('Suivi des Chambres'!$D$45:$D$84)*COLUMNS('Suivi des Chambres'!AA:AA)),0)</f>
        <v>0</v>
      </c>
      <c r="C23" s="86"/>
      <c r="D23" s="86"/>
      <c r="E23" s="86"/>
      <c r="F23" s="87"/>
      <c r="G23" s="59">
        <f>B23</f>
        <v>0</v>
      </c>
      <c r="I23" s="56" t="s">
        <v>95</v>
      </c>
      <c r="J23" s="85">
        <f>IFERROR(SUM('Suivi des Chambres'!AB45:AC84)/(COUNT('Suivi des Chambres'!$D$45:$D$84)*COLUMNS('Suivi des Chambres'!AB:AC)),0)</f>
        <v>0</v>
      </c>
      <c r="K23" s="86"/>
      <c r="L23" s="86"/>
      <c r="M23" s="86"/>
      <c r="N23" s="87"/>
      <c r="O23" s="59">
        <f>J23</f>
        <v>0</v>
      </c>
      <c r="Q23" s="56" t="s">
        <v>95</v>
      </c>
      <c r="R23" s="85">
        <f>IFERROR(SUM('Suivi des Chambres'!AD45:AE84)/(COUNT('Suivi des Chambres'!$D$45:$D$84)*COLUMNS('Suivi des Chambres'!AD:AE)),0)</f>
        <v>0</v>
      </c>
      <c r="S23" s="86"/>
      <c r="T23" s="86"/>
      <c r="U23" s="86"/>
      <c r="V23" s="87"/>
      <c r="W23" s="59">
        <f>R23</f>
        <v>0</v>
      </c>
    </row>
    <row r="24" spans="1:23" ht="18" customHeight="1" x14ac:dyDescent="0.3">
      <c r="A24" s="56" t="s">
        <v>96</v>
      </c>
      <c r="B24" s="85">
        <f>IFERROR(SUM('Suivi des Chambres'!AA85:AA108)/(COUNT('Suivi des Chambres'!$D$85:$D$108)*COLUMNS('Suivi des Chambres'!AA:AA)),0)</f>
        <v>0</v>
      </c>
      <c r="C24" s="86"/>
      <c r="D24" s="86"/>
      <c r="E24" s="86"/>
      <c r="F24" s="87"/>
      <c r="G24" s="59">
        <f>B24</f>
        <v>0</v>
      </c>
      <c r="I24" s="56" t="s">
        <v>96</v>
      </c>
      <c r="J24" s="85">
        <f>IFERROR(SUM('Suivi des Chambres'!AB85:AC108)/(COUNT('Suivi des Chambres'!$D$85:$D$108)*COLUMNS('Suivi des Chambres'!AB:AC)),0)</f>
        <v>0</v>
      </c>
      <c r="K24" s="86"/>
      <c r="L24" s="86"/>
      <c r="M24" s="86"/>
      <c r="N24" s="87"/>
      <c r="O24" s="59">
        <f>J24</f>
        <v>0</v>
      </c>
      <c r="Q24" s="56" t="s">
        <v>96</v>
      </c>
      <c r="R24" s="85">
        <f>IFERROR(SUM('Suivi des Chambres'!AD85:AE108)/(COUNT('Suivi des Chambres'!$D$85:$D$108)*COLUMNS('Suivi des Chambres'!AD:AE)),0)</f>
        <v>0</v>
      </c>
      <c r="S24" s="86"/>
      <c r="T24" s="86"/>
      <c r="U24" s="86"/>
      <c r="V24" s="87"/>
      <c r="W24" s="59">
        <f>R24</f>
        <v>0</v>
      </c>
    </row>
    <row r="25" spans="1:23" ht="18" customHeight="1" thickBot="1" x14ac:dyDescent="0.35">
      <c r="A25" s="57" t="s">
        <v>97</v>
      </c>
      <c r="B25" s="82">
        <f>IFERROR(SUM('Suivi des Chambres'!AA109:AA132)/(COUNT('Suivi des Chambres'!$D$109:$D$132)*COLUMNS('Suivi des Chambres'!AA:AA)),0)</f>
        <v>0</v>
      </c>
      <c r="C25" s="83"/>
      <c r="D25" s="83"/>
      <c r="E25" s="83"/>
      <c r="F25" s="84"/>
      <c r="G25" s="60">
        <f>B25</f>
        <v>0</v>
      </c>
      <c r="I25" s="57" t="s">
        <v>97</v>
      </c>
      <c r="J25" s="82">
        <f>IFERROR(SUM('Suivi des Chambres'!AB109:AC132)/(COUNT('Suivi des Chambres'!$D$109:$D$132)*COLUMNS('Suivi des Chambres'!AB:AC)),0)</f>
        <v>0</v>
      </c>
      <c r="K25" s="83"/>
      <c r="L25" s="83"/>
      <c r="M25" s="83"/>
      <c r="N25" s="84"/>
      <c r="O25" s="60">
        <f>J25</f>
        <v>0</v>
      </c>
      <c r="Q25" s="57" t="s">
        <v>97</v>
      </c>
      <c r="R25" s="82">
        <f>IFERROR(SUM('Suivi des Chambres'!AD109:AE132)/(COUNT('Suivi des Chambres'!$D$109:$D$132)*COLUMNS('Suivi des Chambres'!AD:AE)),0)</f>
        <v>0</v>
      </c>
      <c r="S25" s="83"/>
      <c r="T25" s="83"/>
      <c r="U25" s="83"/>
      <c r="V25" s="84"/>
      <c r="W25" s="60">
        <f>R25</f>
        <v>0</v>
      </c>
    </row>
    <row r="26" spans="1:23" ht="15" thickBot="1" x14ac:dyDescent="0.35"/>
    <row r="27" spans="1:23" ht="24" customHeight="1" x14ac:dyDescent="0.3">
      <c r="A27" s="88" t="s">
        <v>111</v>
      </c>
      <c r="B27" s="89"/>
      <c r="C27" s="89"/>
      <c r="D27" s="89"/>
      <c r="E27" s="89"/>
      <c r="F27" s="89"/>
      <c r="G27" s="90"/>
      <c r="I27" s="88" t="s">
        <v>112</v>
      </c>
      <c r="J27" s="89"/>
      <c r="K27" s="89"/>
      <c r="L27" s="89"/>
      <c r="M27" s="89"/>
      <c r="N27" s="89"/>
      <c r="O27" s="90"/>
      <c r="Q27" s="88" t="s">
        <v>113</v>
      </c>
      <c r="R27" s="89"/>
      <c r="S27" s="89"/>
      <c r="T27" s="89"/>
      <c r="U27" s="89"/>
      <c r="V27" s="89"/>
      <c r="W27" s="90"/>
    </row>
    <row r="28" spans="1:23" ht="18" customHeight="1" x14ac:dyDescent="0.3">
      <c r="A28" s="56" t="s">
        <v>88</v>
      </c>
      <c r="B28" s="85">
        <f>IFERROR(SUM('Suivi des Chambres'!AF5:AF44)/(COUNT('Suivi des Chambres'!$D$5:$D$44)*COLUMNS('Suivi des Chambres'!AF:AF)),0)</f>
        <v>0.05</v>
      </c>
      <c r="C28" s="86"/>
      <c r="D28" s="86"/>
      <c r="E28" s="86"/>
      <c r="F28" s="87"/>
      <c r="G28" s="59">
        <f>B28</f>
        <v>0.05</v>
      </c>
      <c r="I28" s="56" t="s">
        <v>88</v>
      </c>
      <c r="J28" s="85">
        <f>IFERROR(SUM('Suivi des Chambres'!AG5:AG44)/(COUNT('Suivi des Chambres'!$D$5:$D$44)*COLUMNS('Suivi des Chambres'!AG:AG)),0)</f>
        <v>0.05</v>
      </c>
      <c r="K28" s="86"/>
      <c r="L28" s="86"/>
      <c r="M28" s="86"/>
      <c r="N28" s="87"/>
      <c r="O28" s="59">
        <f>J28</f>
        <v>0.05</v>
      </c>
      <c r="Q28" s="56" t="s">
        <v>88</v>
      </c>
      <c r="R28" s="85">
        <f>IFERROR(SUM('Suivi des Chambres'!AH5:AH44)/(COUNT('Suivi des Chambres'!$D$5:$D$44)*COLUMNS('Suivi des Chambres'!AH:AH)),0)</f>
        <v>0.05</v>
      </c>
      <c r="S28" s="86"/>
      <c r="T28" s="86"/>
      <c r="U28" s="86"/>
      <c r="V28" s="87"/>
      <c r="W28" s="59">
        <f>R28</f>
        <v>0.05</v>
      </c>
    </row>
    <row r="29" spans="1:23" ht="18" customHeight="1" x14ac:dyDescent="0.3">
      <c r="A29" s="56" t="s">
        <v>95</v>
      </c>
      <c r="B29" s="85">
        <f>IFERROR(SUM('Suivi des Chambres'!AF45:AF84)/(COUNT('Suivi des Chambres'!$D$45:$D$84)*COLUMNS('Suivi des Chambres'!AF:AF)),0)</f>
        <v>0</v>
      </c>
      <c r="C29" s="86"/>
      <c r="D29" s="86"/>
      <c r="E29" s="86"/>
      <c r="F29" s="87"/>
      <c r="G29" s="59">
        <f>B29</f>
        <v>0</v>
      </c>
      <c r="I29" s="56" t="s">
        <v>95</v>
      </c>
      <c r="J29" s="85">
        <f>IFERROR(SUM('Suivi des Chambres'!AG45:AG84)/(COUNT('Suivi des Chambres'!$D$45:$D$84)*COLUMNS('Suivi des Chambres'!AG:AG)),0)</f>
        <v>0</v>
      </c>
      <c r="K29" s="86"/>
      <c r="L29" s="86"/>
      <c r="M29" s="86"/>
      <c r="N29" s="87"/>
      <c r="O29" s="59">
        <f>J29</f>
        <v>0</v>
      </c>
      <c r="Q29" s="56" t="s">
        <v>95</v>
      </c>
      <c r="R29" s="85">
        <f>IFERROR(SUM('Suivi des Chambres'!AH45:AH84)/(COUNT('Suivi des Chambres'!$D$45:$D$84)*COLUMNS('Suivi des Chambres'!AH:AH)),0)</f>
        <v>0</v>
      </c>
      <c r="S29" s="86"/>
      <c r="T29" s="86"/>
      <c r="U29" s="86"/>
      <c r="V29" s="87"/>
      <c r="W29" s="59">
        <f>R29</f>
        <v>0</v>
      </c>
    </row>
    <row r="30" spans="1:23" ht="18" customHeight="1" x14ac:dyDescent="0.3">
      <c r="A30" s="56" t="s">
        <v>96</v>
      </c>
      <c r="B30" s="85">
        <f>IFERROR(SUM('Suivi des Chambres'!AF85:AF108)/(COUNT('Suivi des Chambres'!$D$85:$D$108)*COLUMNS('Suivi des Chambres'!AF:AF)),0)</f>
        <v>0</v>
      </c>
      <c r="C30" s="86"/>
      <c r="D30" s="86"/>
      <c r="E30" s="86"/>
      <c r="F30" s="87"/>
      <c r="G30" s="59">
        <f>B30</f>
        <v>0</v>
      </c>
      <c r="I30" s="56" t="s">
        <v>96</v>
      </c>
      <c r="J30" s="85">
        <f>IFERROR(SUM('Suivi des Chambres'!AG85:AG108)/(COUNT('Suivi des Chambres'!$D$85:$D$108)*COLUMNS('Suivi des Chambres'!AG:AG)),0)</f>
        <v>0</v>
      </c>
      <c r="K30" s="86"/>
      <c r="L30" s="86"/>
      <c r="M30" s="86"/>
      <c r="N30" s="87"/>
      <c r="O30" s="59">
        <f>J30</f>
        <v>0</v>
      </c>
      <c r="Q30" s="56" t="s">
        <v>96</v>
      </c>
      <c r="R30" s="85">
        <f>IFERROR(SUM('Suivi des Chambres'!AH85:AH108)/(COUNT('Suivi des Chambres'!$D$85:$D$108)*COLUMNS('Suivi des Chambres'!AH:AH)),0)</f>
        <v>0</v>
      </c>
      <c r="S30" s="86"/>
      <c r="T30" s="86"/>
      <c r="U30" s="86"/>
      <c r="V30" s="87"/>
      <c r="W30" s="59">
        <f>R30</f>
        <v>0</v>
      </c>
    </row>
    <row r="31" spans="1:23" ht="18" customHeight="1" thickBot="1" x14ac:dyDescent="0.35">
      <c r="A31" s="57" t="s">
        <v>97</v>
      </c>
      <c r="B31" s="82">
        <f>IFERROR(SUM('Suivi des Chambres'!AF109:AF132)/(COUNT('Suivi des Chambres'!$D$109:$D$132)*COLUMNS('Suivi des Chambres'!AF:AF)),0)</f>
        <v>0</v>
      </c>
      <c r="C31" s="83"/>
      <c r="D31" s="83"/>
      <c r="E31" s="83"/>
      <c r="F31" s="84"/>
      <c r="G31" s="60">
        <f>B31</f>
        <v>0</v>
      </c>
      <c r="I31" s="57" t="s">
        <v>97</v>
      </c>
      <c r="J31" s="82">
        <f>IFERROR(SUM('Suivi des Chambres'!AG109:AG132)/(COUNT('Suivi des Chambres'!$D$109:$D$132)*COLUMNS('Suivi des Chambres'!AG:AG)),0)</f>
        <v>0</v>
      </c>
      <c r="K31" s="83"/>
      <c r="L31" s="83"/>
      <c r="M31" s="83"/>
      <c r="N31" s="84"/>
      <c r="O31" s="60">
        <f>J31</f>
        <v>0</v>
      </c>
      <c r="Q31" s="57" t="s">
        <v>97</v>
      </c>
      <c r="R31" s="82">
        <f>IFERROR(SUM('Suivi des Chambres'!AH109:AH132)/(COUNT('Suivi des Chambres'!$D$109:$D$132)*COLUMNS('Suivi des Chambres'!AH:AH)),0)</f>
        <v>0</v>
      </c>
      <c r="S31" s="83"/>
      <c r="T31" s="83"/>
      <c r="U31" s="83"/>
      <c r="V31" s="84"/>
      <c r="W31" s="60">
        <f>R31</f>
        <v>0</v>
      </c>
    </row>
    <row r="32" spans="1:23" ht="15" thickBot="1" x14ac:dyDescent="0.35"/>
    <row r="33" spans="1:15" ht="24" customHeight="1" x14ac:dyDescent="0.3">
      <c r="A33" s="88" t="s">
        <v>114</v>
      </c>
      <c r="B33" s="89"/>
      <c r="C33" s="89"/>
      <c r="D33" s="89"/>
      <c r="E33" s="89"/>
      <c r="F33" s="89"/>
      <c r="G33" s="90"/>
      <c r="I33" s="88" t="s">
        <v>115</v>
      </c>
      <c r="J33" s="89"/>
      <c r="K33" s="89"/>
      <c r="L33" s="89"/>
      <c r="M33" s="89"/>
      <c r="N33" s="89"/>
      <c r="O33" s="90"/>
    </row>
    <row r="34" spans="1:15" ht="18" customHeight="1" x14ac:dyDescent="0.3">
      <c r="A34" s="56" t="s">
        <v>88</v>
      </c>
      <c r="B34" s="85">
        <f>IFERROR(SUM('Suivi des Chambres'!AI5:AK44)/(COUNT('Suivi des Chambres'!$D$5:$D$44)*COLUMNS('Suivi des Chambres'!AI:AK)),0)</f>
        <v>0</v>
      </c>
      <c r="C34" s="86"/>
      <c r="D34" s="86"/>
      <c r="E34" s="86"/>
      <c r="F34" s="87"/>
      <c r="G34" s="59">
        <f>B34</f>
        <v>0</v>
      </c>
      <c r="I34" s="56" t="s">
        <v>88</v>
      </c>
      <c r="J34" s="85">
        <f>IFERROR(SUM('Suivi des Chambres'!AL5:AM44)/(COUNT('Suivi des Chambres'!$D$5:$D$44)*COLUMNS('Suivi des Chambres'!AL:AM)),0)</f>
        <v>0</v>
      </c>
      <c r="K34" s="86"/>
      <c r="L34" s="86"/>
      <c r="M34" s="86"/>
      <c r="N34" s="87"/>
      <c r="O34" s="59">
        <f>J34</f>
        <v>0</v>
      </c>
    </row>
    <row r="35" spans="1:15" ht="18" customHeight="1" x14ac:dyDescent="0.3">
      <c r="A35" s="56" t="s">
        <v>95</v>
      </c>
      <c r="B35" s="85">
        <f>IFERROR(SUM('Suivi des Chambres'!AI45:AK84)/(COUNT('Suivi des Chambres'!$D$45:$D$84)*COLUMNS('Suivi des Chambres'!AI:AK)),0)</f>
        <v>0</v>
      </c>
      <c r="C35" s="86"/>
      <c r="D35" s="86"/>
      <c r="E35" s="86"/>
      <c r="F35" s="87"/>
      <c r="G35" s="59">
        <f>B35</f>
        <v>0</v>
      </c>
      <c r="I35" s="56" t="s">
        <v>95</v>
      </c>
      <c r="J35" s="85">
        <f>IFERROR(SUM('Suivi des Chambres'!AL45:AM84)/(COUNT('Suivi des Chambres'!$D$45:$D$84)*COLUMNS('Suivi des Chambres'!AL:AM)),0)</f>
        <v>0</v>
      </c>
      <c r="K35" s="86"/>
      <c r="L35" s="86"/>
      <c r="M35" s="86"/>
      <c r="N35" s="87"/>
      <c r="O35" s="59">
        <f>J35</f>
        <v>0</v>
      </c>
    </row>
    <row r="36" spans="1:15" ht="18" customHeight="1" x14ac:dyDescent="0.3">
      <c r="A36" s="56" t="s">
        <v>96</v>
      </c>
      <c r="B36" s="85">
        <f>IFERROR(SUM('Suivi des Chambres'!AI85:AK108)/(COUNT('Suivi des Chambres'!$D$85:$D$108)*COLUMNS('Suivi des Chambres'!AI:AK)),0)</f>
        <v>0</v>
      </c>
      <c r="C36" s="86"/>
      <c r="D36" s="86"/>
      <c r="E36" s="86"/>
      <c r="F36" s="87"/>
      <c r="G36" s="59">
        <f>B36</f>
        <v>0</v>
      </c>
      <c r="I36" s="56" t="s">
        <v>96</v>
      </c>
      <c r="J36" s="85">
        <f>IFERROR(SUM('Suivi des Chambres'!AL85:AM108)/(COUNT('Suivi des Chambres'!$D$85:$D$108)*COLUMNS('Suivi des Chambres'!AL:AM)),0)</f>
        <v>0</v>
      </c>
      <c r="K36" s="86"/>
      <c r="L36" s="86"/>
      <c r="M36" s="86"/>
      <c r="N36" s="87"/>
      <c r="O36" s="59">
        <f>J36</f>
        <v>0</v>
      </c>
    </row>
    <row r="37" spans="1:15" ht="18" customHeight="1" thickBot="1" x14ac:dyDescent="0.35">
      <c r="A37" s="57" t="s">
        <v>97</v>
      </c>
      <c r="B37" s="82">
        <f>IFERROR(SUM('Suivi des Chambres'!AI109:AK132)/(COUNT('Suivi des Chambres'!$D$109:$D$132)*COLUMNS('Suivi des Chambres'!AI:AK)),0)</f>
        <v>0</v>
      </c>
      <c r="C37" s="83"/>
      <c r="D37" s="83"/>
      <c r="E37" s="83"/>
      <c r="F37" s="84"/>
      <c r="G37" s="60">
        <f>B37</f>
        <v>0</v>
      </c>
      <c r="I37" s="57" t="s">
        <v>97</v>
      </c>
      <c r="J37" s="82">
        <f>IFERROR(SUM('Suivi des Chambres'!AL109:AM132)/(COUNT('Suivi des Chambres'!$D$109:$D$132)*COLUMNS('Suivi des Chambres'!AL:AM)),0)</f>
        <v>0</v>
      </c>
      <c r="K37" s="83"/>
      <c r="L37" s="83"/>
      <c r="M37" s="83"/>
      <c r="N37" s="84"/>
      <c r="O37" s="60">
        <f>J37</f>
        <v>0</v>
      </c>
    </row>
    <row r="39" spans="1:15" ht="24" customHeight="1" x14ac:dyDescent="0.3"/>
    <row r="40" spans="1:15" ht="18" customHeight="1" x14ac:dyDescent="0.3"/>
    <row r="41" spans="1:15" ht="18" customHeight="1" x14ac:dyDescent="0.3"/>
    <row r="42" spans="1:15" ht="18" customHeight="1" x14ac:dyDescent="0.3"/>
    <row r="43" spans="1:15" ht="18" customHeight="1" x14ac:dyDescent="0.3"/>
  </sheetData>
  <mergeCells count="86">
    <mergeCell ref="A1:W1"/>
    <mergeCell ref="I21:O21"/>
    <mergeCell ref="B11:F11"/>
    <mergeCell ref="B6:F6"/>
    <mergeCell ref="R4:V4"/>
    <mergeCell ref="J6:N6"/>
    <mergeCell ref="B10:F10"/>
    <mergeCell ref="R6:V6"/>
    <mergeCell ref="A9:G9"/>
    <mergeCell ref="J5:N5"/>
    <mergeCell ref="I3:O3"/>
    <mergeCell ref="A3:G3"/>
    <mergeCell ref="Q3:W3"/>
    <mergeCell ref="B4:F4"/>
    <mergeCell ref="B16:F16"/>
    <mergeCell ref="Q9:W9"/>
    <mergeCell ref="J4:N4"/>
    <mergeCell ref="R10:V10"/>
    <mergeCell ref="J10:N10"/>
    <mergeCell ref="I15:O15"/>
    <mergeCell ref="I9:O9"/>
    <mergeCell ref="J12:N12"/>
    <mergeCell ref="J11:N11"/>
    <mergeCell ref="J13:N13"/>
    <mergeCell ref="R11:V11"/>
    <mergeCell ref="Q15:W15"/>
    <mergeCell ref="B28:F28"/>
    <mergeCell ref="J28:N28"/>
    <mergeCell ref="J23:N23"/>
    <mergeCell ref="J25:N25"/>
    <mergeCell ref="B29:F29"/>
    <mergeCell ref="A27:G27"/>
    <mergeCell ref="B7:F7"/>
    <mergeCell ref="R12:V12"/>
    <mergeCell ref="R24:V24"/>
    <mergeCell ref="R19:V19"/>
    <mergeCell ref="J24:N24"/>
    <mergeCell ref="B18:F18"/>
    <mergeCell ref="B17:F17"/>
    <mergeCell ref="A15:G15"/>
    <mergeCell ref="B12:F12"/>
    <mergeCell ref="R16:V16"/>
    <mergeCell ref="R18:V18"/>
    <mergeCell ref="J18:N18"/>
    <mergeCell ref="B5:F5"/>
    <mergeCell ref="R5:V5"/>
    <mergeCell ref="B25:F25"/>
    <mergeCell ref="B19:F19"/>
    <mergeCell ref="B24:F24"/>
    <mergeCell ref="J7:N7"/>
    <mergeCell ref="J16:N16"/>
    <mergeCell ref="R7:V7"/>
    <mergeCell ref="B13:F13"/>
    <mergeCell ref="R13:V13"/>
    <mergeCell ref="J17:N17"/>
    <mergeCell ref="R17:V17"/>
    <mergeCell ref="B23:F23"/>
    <mergeCell ref="B22:F22"/>
    <mergeCell ref="A21:G21"/>
    <mergeCell ref="J19:N19"/>
    <mergeCell ref="R28:V28"/>
    <mergeCell ref="Q21:W21"/>
    <mergeCell ref="J37:N37"/>
    <mergeCell ref="R25:V25"/>
    <mergeCell ref="J35:N35"/>
    <mergeCell ref="R29:V29"/>
    <mergeCell ref="I27:O27"/>
    <mergeCell ref="R22:V22"/>
    <mergeCell ref="R23:V23"/>
    <mergeCell ref="J22:N22"/>
    <mergeCell ref="R31:V31"/>
    <mergeCell ref="J29:N29"/>
    <mergeCell ref="Q27:W27"/>
    <mergeCell ref="R30:V30"/>
    <mergeCell ref="J34:N34"/>
    <mergeCell ref="B31:F31"/>
    <mergeCell ref="B35:F35"/>
    <mergeCell ref="I33:O33"/>
    <mergeCell ref="J31:N31"/>
    <mergeCell ref="B30:F30"/>
    <mergeCell ref="J30:N30"/>
    <mergeCell ref="B37:F37"/>
    <mergeCell ref="J36:N36"/>
    <mergeCell ref="A33:G33"/>
    <mergeCell ref="B36:F36"/>
    <mergeCell ref="B34:F34"/>
  </mergeCells>
  <conditionalFormatting sqref="B4:B7">
    <cfRule type="dataBar" priority="1">
      <dataBar showValue="0">
        <cfvo type="num" val="0"/>
        <cfvo type="num" val="1"/>
        <color rgb="FF5B9BD5"/>
      </dataBar>
    </cfRule>
  </conditionalFormatting>
  <conditionalFormatting sqref="B10:B13">
    <cfRule type="dataBar" priority="4">
      <dataBar showValue="0">
        <cfvo type="num" val="0"/>
        <cfvo type="num" val="1"/>
        <color rgb="FF5B9BD5"/>
      </dataBar>
    </cfRule>
  </conditionalFormatting>
  <conditionalFormatting sqref="B16:B19">
    <cfRule type="dataBar" priority="7">
      <dataBar showValue="0">
        <cfvo type="num" val="0"/>
        <cfvo type="num" val="1"/>
        <color rgb="FF5B9BD5"/>
      </dataBar>
    </cfRule>
  </conditionalFormatting>
  <conditionalFormatting sqref="B22:B25">
    <cfRule type="dataBar" priority="10">
      <dataBar showValue="0">
        <cfvo type="num" val="0"/>
        <cfvo type="num" val="1"/>
        <color rgb="FF5B9BD5"/>
      </dataBar>
    </cfRule>
  </conditionalFormatting>
  <conditionalFormatting sqref="B28:B31">
    <cfRule type="dataBar" priority="13">
      <dataBar showValue="0">
        <cfvo type="num" val="0"/>
        <cfvo type="num" val="1"/>
        <color rgb="FF5B9BD5"/>
      </dataBar>
    </cfRule>
  </conditionalFormatting>
  <conditionalFormatting sqref="B34:B37">
    <cfRule type="dataBar" priority="16">
      <dataBar showValue="0">
        <cfvo type="num" val="0"/>
        <cfvo type="num" val="1"/>
        <color rgb="FF5B9BD5"/>
      </dataBar>
    </cfRule>
  </conditionalFormatting>
  <conditionalFormatting sqref="J4:J7">
    <cfRule type="dataBar" priority="2">
      <dataBar showValue="0">
        <cfvo type="num" val="0"/>
        <cfvo type="num" val="1"/>
        <color rgb="FF5B9BD5"/>
      </dataBar>
    </cfRule>
  </conditionalFormatting>
  <conditionalFormatting sqref="J10:J13">
    <cfRule type="dataBar" priority="5">
      <dataBar showValue="0">
        <cfvo type="num" val="0"/>
        <cfvo type="num" val="1"/>
        <color rgb="FF5B9BD5"/>
      </dataBar>
    </cfRule>
  </conditionalFormatting>
  <conditionalFormatting sqref="J16:J19">
    <cfRule type="dataBar" priority="8">
      <dataBar showValue="0">
        <cfvo type="num" val="0"/>
        <cfvo type="num" val="1"/>
        <color rgb="FF5B9BD5"/>
      </dataBar>
    </cfRule>
  </conditionalFormatting>
  <conditionalFormatting sqref="J22:J25">
    <cfRule type="dataBar" priority="11">
      <dataBar showValue="0">
        <cfvo type="num" val="0"/>
        <cfvo type="num" val="1"/>
        <color rgb="FF5B9BD5"/>
      </dataBar>
    </cfRule>
  </conditionalFormatting>
  <conditionalFormatting sqref="J28:J31">
    <cfRule type="dataBar" priority="14">
      <dataBar showValue="0">
        <cfvo type="num" val="0"/>
        <cfvo type="num" val="1"/>
        <color rgb="FF5B9BD5"/>
      </dataBar>
    </cfRule>
  </conditionalFormatting>
  <conditionalFormatting sqref="J34:J37">
    <cfRule type="dataBar" priority="17">
      <dataBar showValue="0">
        <cfvo type="num" val="0"/>
        <cfvo type="num" val="1"/>
        <color rgb="FF5B9BD5"/>
      </dataBar>
    </cfRule>
  </conditionalFormatting>
  <conditionalFormatting sqref="R4:R7">
    <cfRule type="dataBar" priority="3">
      <dataBar showValue="0">
        <cfvo type="num" val="0"/>
        <cfvo type="num" val="1"/>
        <color rgb="FF5B9BD5"/>
      </dataBar>
    </cfRule>
  </conditionalFormatting>
  <conditionalFormatting sqref="R10:R13">
    <cfRule type="dataBar" priority="6">
      <dataBar showValue="0">
        <cfvo type="num" val="0"/>
        <cfvo type="num" val="1"/>
        <color rgb="FF5B9BD5"/>
      </dataBar>
    </cfRule>
  </conditionalFormatting>
  <conditionalFormatting sqref="R16:R19">
    <cfRule type="dataBar" priority="9">
      <dataBar showValue="0">
        <cfvo type="num" val="0"/>
        <cfvo type="num" val="1"/>
        <color rgb="FF5B9BD5"/>
      </dataBar>
    </cfRule>
  </conditionalFormatting>
  <conditionalFormatting sqref="R22:R25">
    <cfRule type="dataBar" priority="12">
      <dataBar showValue="0">
        <cfvo type="num" val="0"/>
        <cfvo type="num" val="1"/>
        <color rgb="FF5B9BD5"/>
      </dataBar>
    </cfRule>
  </conditionalFormatting>
  <conditionalFormatting sqref="R28:R31">
    <cfRule type="dataBar" priority="15">
      <dataBar showValue="0">
        <cfvo type="num" val="0"/>
        <cfvo type="num" val="1"/>
        <color rgb="FF5B9BD5"/>
      </dataBar>
    </cfRule>
  </conditionalFormatting>
  <pageMargins left="0.75" right="0.75" top="1" bottom="1" header="0.5" footer="0.5"/>
  <pageSetup paperSize="9" scale="41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W31"/>
  <sheetViews>
    <sheetView showGridLines="0" view="pageBreakPreview" zoomScaleNormal="70" zoomScaleSheetLayoutView="100" workbookViewId="0">
      <selection activeCell="R4" sqref="R4:V4"/>
    </sheetView>
  </sheetViews>
  <sheetFormatPr baseColWidth="10" defaultColWidth="8.88671875" defaultRowHeight="14.4" x14ac:dyDescent="0.3"/>
  <cols>
    <col min="1" max="1" width="5.33203125" style="55" customWidth="1"/>
    <col min="2" max="6" width="9" customWidth="1"/>
    <col min="7" max="7" width="5" style="55" customWidth="1"/>
    <col min="8" max="8" width="11" customWidth="1"/>
    <col min="9" max="9" width="6" style="55" customWidth="1"/>
    <col min="10" max="14" width="9" customWidth="1"/>
    <col min="15" max="15" width="5.21875" style="55" customWidth="1"/>
    <col min="16" max="16" width="11" customWidth="1"/>
    <col min="17" max="17" width="6.88671875" customWidth="1"/>
    <col min="18" max="18" width="11" customWidth="1"/>
    <col min="23" max="23" width="6.21875" customWidth="1"/>
  </cols>
  <sheetData>
    <row r="1" spans="1:23" ht="30" customHeight="1" x14ac:dyDescent="0.3">
      <c r="A1" s="93" t="s">
        <v>116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</row>
    <row r="2" spans="1:23" ht="15" thickBot="1" x14ac:dyDescent="0.35"/>
    <row r="3" spans="1:23" ht="24" customHeight="1" x14ac:dyDescent="0.3">
      <c r="A3" s="88" t="s">
        <v>100</v>
      </c>
      <c r="B3" s="89"/>
      <c r="C3" s="89"/>
      <c r="D3" s="89"/>
      <c r="E3" s="89"/>
      <c r="F3" s="89"/>
      <c r="G3" s="90"/>
      <c r="I3" s="88" t="s">
        <v>101</v>
      </c>
      <c r="J3" s="89"/>
      <c r="K3" s="89"/>
      <c r="L3" s="89"/>
      <c r="M3" s="89"/>
      <c r="N3" s="89"/>
      <c r="O3" s="90"/>
      <c r="Q3" s="88" t="s">
        <v>104</v>
      </c>
      <c r="R3" s="89"/>
      <c r="S3" s="89"/>
      <c r="T3" s="89"/>
      <c r="U3" s="89"/>
      <c r="V3" s="89"/>
      <c r="W3" s="90"/>
    </row>
    <row r="4" spans="1:23" ht="18" customHeight="1" x14ac:dyDescent="0.3">
      <c r="A4" s="56" t="s">
        <v>88</v>
      </c>
      <c r="B4" s="85">
        <f>IFERROR(SUM('Suivi des Chambres'!AN5:AN44)/(COUNT('Suivi des Chambres'!$D$5:$D$44)*COLUMNS('Suivi des Chambres'!AN:AN)),0)</f>
        <v>0.13750000000000001</v>
      </c>
      <c r="C4" s="86"/>
      <c r="D4" s="86"/>
      <c r="E4" s="86"/>
      <c r="F4" s="87"/>
      <c r="G4" s="59">
        <f>B4</f>
        <v>0.13750000000000001</v>
      </c>
      <c r="I4" s="56" t="s">
        <v>88</v>
      </c>
      <c r="J4" s="85">
        <f>IFERROR(SUM('Suivi des Chambres'!AO5:AQ44)/(COUNT('Suivi des Chambres'!$D$5:$D$44)*COLUMNS('Suivi des Chambres'!AO:AQ)),0)</f>
        <v>9.7499999999999989E-2</v>
      </c>
      <c r="K4" s="86"/>
      <c r="L4" s="86"/>
      <c r="M4" s="86"/>
      <c r="N4" s="87"/>
      <c r="O4" s="59">
        <f>J4</f>
        <v>9.7499999999999989E-2</v>
      </c>
      <c r="Q4" s="56" t="s">
        <v>88</v>
      </c>
      <c r="R4" s="85">
        <f>IFERROR(SUM('Suivi des Chambres'!AR5:AR44)/(COUNT('Suivi des Chambres'!$D$5:$D$44)*COLUMNS('Suivi des Chambres'!AR:AR)),0)</f>
        <v>0.95</v>
      </c>
      <c r="S4" s="86"/>
      <c r="T4" s="86"/>
      <c r="U4" s="86"/>
      <c r="V4" s="87"/>
      <c r="W4" s="59">
        <f>R4</f>
        <v>0.95</v>
      </c>
    </row>
    <row r="5" spans="1:23" ht="18" customHeight="1" x14ac:dyDescent="0.3">
      <c r="A5" s="56" t="s">
        <v>95</v>
      </c>
      <c r="B5" s="85">
        <f>IFERROR(SUM('Suivi des Chambres'!AN45:AN84)/(COUNT('Suivi des Chambres'!$D$45:$D$84)*COLUMNS('Suivi des Chambres'!AN:AN)),0)</f>
        <v>0</v>
      </c>
      <c r="C5" s="86"/>
      <c r="D5" s="86"/>
      <c r="E5" s="86"/>
      <c r="F5" s="87"/>
      <c r="G5" s="59">
        <f>B5</f>
        <v>0</v>
      </c>
      <c r="I5" s="56" t="s">
        <v>95</v>
      </c>
      <c r="J5" s="85">
        <f>IFERROR(SUM('Suivi des Chambres'!AO45:AQ84)/(COUNT('Suivi des Chambres'!$D$45:$D$84)*COLUMNS('Suivi des Chambres'!AO:AQ)),0)</f>
        <v>0</v>
      </c>
      <c r="K5" s="86"/>
      <c r="L5" s="86"/>
      <c r="M5" s="86"/>
      <c r="N5" s="87"/>
      <c r="O5" s="59">
        <f>J5</f>
        <v>0</v>
      </c>
      <c r="Q5" s="56" t="s">
        <v>95</v>
      </c>
      <c r="R5" s="85">
        <f>IFERROR(SUM('Suivi des Chambres'!AR45:AR84)/(COUNT('Suivi des Chambres'!$D$45:$D$84)*COLUMNS('Suivi des Chambres'!AR:AR)),0)</f>
        <v>0.97499999999999998</v>
      </c>
      <c r="S5" s="86"/>
      <c r="T5" s="86"/>
      <c r="U5" s="86"/>
      <c r="V5" s="87"/>
      <c r="W5" s="59">
        <f>R5</f>
        <v>0.97499999999999998</v>
      </c>
    </row>
    <row r="6" spans="1:23" ht="18" customHeight="1" x14ac:dyDescent="0.3">
      <c r="A6" s="56" t="s">
        <v>96</v>
      </c>
      <c r="B6" s="85">
        <f>IFERROR(SUM('Suivi des Chambres'!AN85:AN108)/(COUNT('Suivi des Chambres'!$D$85:$D$108)*COLUMNS('Suivi des Chambres'!AN:AN)),0)</f>
        <v>0</v>
      </c>
      <c r="C6" s="86"/>
      <c r="D6" s="86"/>
      <c r="E6" s="86"/>
      <c r="F6" s="87"/>
      <c r="G6" s="59">
        <f>B6</f>
        <v>0</v>
      </c>
      <c r="I6" s="56" t="s">
        <v>96</v>
      </c>
      <c r="J6" s="85">
        <f>IFERROR(SUM('Suivi des Chambres'!AO85:AQ108)/(COUNT('Suivi des Chambres'!$D$85:$D$108)*COLUMNS('Suivi des Chambres'!AO:AQ)),0)</f>
        <v>0</v>
      </c>
      <c r="K6" s="86"/>
      <c r="L6" s="86"/>
      <c r="M6" s="86"/>
      <c r="N6" s="87"/>
      <c r="O6" s="59">
        <f>J6</f>
        <v>0</v>
      </c>
      <c r="Q6" s="56" t="s">
        <v>96</v>
      </c>
      <c r="R6" s="85">
        <f>IFERROR(SUM('Suivi des Chambres'!AR85:AR108)/(COUNT('Suivi des Chambres'!$D$85:$D$108)*COLUMNS('Suivi des Chambres'!AR:AR)),0)</f>
        <v>0</v>
      </c>
      <c r="S6" s="86"/>
      <c r="T6" s="86"/>
      <c r="U6" s="86"/>
      <c r="V6" s="87"/>
      <c r="W6" s="59">
        <f>R6</f>
        <v>0</v>
      </c>
    </row>
    <row r="7" spans="1:23" ht="18" customHeight="1" thickBot="1" x14ac:dyDescent="0.35">
      <c r="A7" s="57" t="s">
        <v>97</v>
      </c>
      <c r="B7" s="82">
        <f>IFERROR(SUM('Suivi des Chambres'!AN109:AN132)/(COUNT('Suivi des Chambres'!$D$109:$D$132)*COLUMNS('Suivi des Chambres'!AN:AN)),0)</f>
        <v>0</v>
      </c>
      <c r="C7" s="83"/>
      <c r="D7" s="83"/>
      <c r="E7" s="83"/>
      <c r="F7" s="84"/>
      <c r="G7" s="60">
        <f>B7</f>
        <v>0</v>
      </c>
      <c r="I7" s="57" t="s">
        <v>97</v>
      </c>
      <c r="J7" s="82">
        <f>IFERROR(SUM('Suivi des Chambres'!AO109:AQ132)/(COUNT('Suivi des Chambres'!$D$109:$D$132)*COLUMNS('Suivi des Chambres'!AO:AQ)),0)</f>
        <v>0</v>
      </c>
      <c r="K7" s="83"/>
      <c r="L7" s="83"/>
      <c r="M7" s="83"/>
      <c r="N7" s="84"/>
      <c r="O7" s="60">
        <f>J7</f>
        <v>0</v>
      </c>
      <c r="Q7" s="57" t="s">
        <v>97</v>
      </c>
      <c r="R7" s="82">
        <f>IFERROR(SUM('Suivi des Chambres'!AR109:AR132)/(COUNT('Suivi des Chambres'!$D$109:$D$132)*COLUMNS('Suivi des Chambres'!AR:AR)),0)</f>
        <v>0</v>
      </c>
      <c r="S7" s="83"/>
      <c r="T7" s="83"/>
      <c r="U7" s="83"/>
      <c r="V7" s="84"/>
      <c r="W7" s="60">
        <f>R7</f>
        <v>0</v>
      </c>
    </row>
    <row r="8" spans="1:23" s="54" customFormat="1" ht="15" thickBot="1" x14ac:dyDescent="0.35">
      <c r="A8" s="58"/>
      <c r="G8" s="58"/>
      <c r="I8" s="58"/>
      <c r="O8" s="58"/>
    </row>
    <row r="9" spans="1:23" ht="24" customHeight="1" x14ac:dyDescent="0.3">
      <c r="A9" s="88" t="s">
        <v>117</v>
      </c>
      <c r="B9" s="89"/>
      <c r="C9" s="89"/>
      <c r="D9" s="89"/>
      <c r="E9" s="89"/>
      <c r="F9" s="89"/>
      <c r="G9" s="90"/>
      <c r="I9" s="88" t="s">
        <v>110</v>
      </c>
      <c r="J9" s="89"/>
      <c r="K9" s="89"/>
      <c r="L9" s="89"/>
      <c r="M9" s="89"/>
      <c r="N9" s="89"/>
      <c r="O9" s="90"/>
      <c r="Q9" s="88" t="s">
        <v>109</v>
      </c>
      <c r="R9" s="89"/>
      <c r="S9" s="89"/>
      <c r="T9" s="89"/>
      <c r="U9" s="89"/>
      <c r="V9" s="89"/>
      <c r="W9" s="90"/>
    </row>
    <row r="10" spans="1:23" ht="18" customHeight="1" x14ac:dyDescent="0.3">
      <c r="A10" s="56" t="s">
        <v>88</v>
      </c>
      <c r="B10" s="85">
        <f>IFERROR(SUM('Suivi des Chambres'!AS5:AZ44)/(COUNT('Suivi des Chambres'!$D$5:$D$44)*COLUMNS('Suivi des Chambres'!AS:AZ)),0)</f>
        <v>0.35203124999999996</v>
      </c>
      <c r="C10" s="86"/>
      <c r="D10" s="86"/>
      <c r="E10" s="86"/>
      <c r="F10" s="87"/>
      <c r="G10" s="59">
        <f>B10</f>
        <v>0.35203124999999996</v>
      </c>
      <c r="I10" s="56" t="s">
        <v>88</v>
      </c>
      <c r="J10" s="85">
        <f>IFERROR(SUM('Suivi des Chambres'!BA5:BC44)/(COUNT('Suivi des Chambres'!$D$5:$D$44)*COLUMNS('Suivi des Chambres'!BA:BC)),0)</f>
        <v>6.6666666666666666E-2</v>
      </c>
      <c r="K10" s="86"/>
      <c r="L10" s="86"/>
      <c r="M10" s="86"/>
      <c r="N10" s="87"/>
      <c r="O10" s="59">
        <f>J10</f>
        <v>6.6666666666666666E-2</v>
      </c>
      <c r="Q10" s="56" t="s">
        <v>88</v>
      </c>
      <c r="R10" s="85">
        <f>IFERROR(SUM('Suivi des Chambres'!BD5:BD44)/(COUNT('Suivi des Chambres'!$D$5:$D$44)*COLUMNS('Suivi des Chambres'!BD:BD)),0)</f>
        <v>0.125</v>
      </c>
      <c r="S10" s="86"/>
      <c r="T10" s="86"/>
      <c r="U10" s="86"/>
      <c r="V10" s="87"/>
      <c r="W10" s="59">
        <f>R10</f>
        <v>0.125</v>
      </c>
    </row>
    <row r="11" spans="1:23" ht="18" customHeight="1" x14ac:dyDescent="0.3">
      <c r="A11" s="56" t="s">
        <v>95</v>
      </c>
      <c r="B11" s="85">
        <f>IFERROR(SUM('Suivi des Chambres'!AS45:AZ84)/(COUNT('Suivi des Chambres'!$D$45:$D$84)*COLUMNS('Suivi des Chambres'!AS:AZ)),0)</f>
        <v>0.25</v>
      </c>
      <c r="C11" s="86"/>
      <c r="D11" s="86"/>
      <c r="E11" s="86"/>
      <c r="F11" s="87"/>
      <c r="G11" s="59">
        <f>B11</f>
        <v>0.25</v>
      </c>
      <c r="I11" s="56" t="s">
        <v>95</v>
      </c>
      <c r="J11" s="85">
        <f>IFERROR(SUM('Suivi des Chambres'!BA45:BC84)/(COUNT('Suivi des Chambres'!$D$45:$D$84)*COLUMNS('Suivi des Chambres'!BA:BC)),0)</f>
        <v>0</v>
      </c>
      <c r="K11" s="86"/>
      <c r="L11" s="86"/>
      <c r="M11" s="86"/>
      <c r="N11" s="87"/>
      <c r="O11" s="59">
        <f>J11</f>
        <v>0</v>
      </c>
      <c r="Q11" s="56" t="s">
        <v>95</v>
      </c>
      <c r="R11" s="85">
        <f>IFERROR(SUM('Suivi des Chambres'!BD45:BD84)/(COUNT('Suivi des Chambres'!$D$45:$D$84)*COLUMNS('Suivi des Chambres'!BD:BD)),0)</f>
        <v>0</v>
      </c>
      <c r="S11" s="86"/>
      <c r="T11" s="86"/>
      <c r="U11" s="86"/>
      <c r="V11" s="87"/>
      <c r="W11" s="59">
        <f>R11</f>
        <v>0</v>
      </c>
    </row>
    <row r="12" spans="1:23" ht="18" customHeight="1" x14ac:dyDescent="0.3">
      <c r="A12" s="56" t="s">
        <v>96</v>
      </c>
      <c r="B12" s="85">
        <f>IFERROR(SUM('Suivi des Chambres'!AS85:AZ108)/(COUNT('Suivi des Chambres'!$D$85:$D$108)*COLUMNS('Suivi des Chambres'!AS:AZ)),0)</f>
        <v>0</v>
      </c>
      <c r="C12" s="86"/>
      <c r="D12" s="86"/>
      <c r="E12" s="86"/>
      <c r="F12" s="87"/>
      <c r="G12" s="59">
        <f>B12</f>
        <v>0</v>
      </c>
      <c r="I12" s="56" t="s">
        <v>96</v>
      </c>
      <c r="J12" s="85">
        <f>IFERROR(SUM('Suivi des Chambres'!BA85:BC108)/(COUNT('Suivi des Chambres'!$D$85:$D$108)*COLUMNS('Suivi des Chambres'!BA:BC)),0)</f>
        <v>0</v>
      </c>
      <c r="K12" s="86"/>
      <c r="L12" s="86"/>
      <c r="M12" s="86"/>
      <c r="N12" s="87"/>
      <c r="O12" s="59">
        <f>J12</f>
        <v>0</v>
      </c>
      <c r="Q12" s="56" t="s">
        <v>96</v>
      </c>
      <c r="R12" s="85">
        <f>IFERROR(SUM('Suivi des Chambres'!BD85:BD108)/(COUNT('Suivi des Chambres'!$D$85:$D$108)*COLUMNS('Suivi des Chambres'!BD:BD)),0)</f>
        <v>0</v>
      </c>
      <c r="S12" s="86"/>
      <c r="T12" s="86"/>
      <c r="U12" s="86"/>
      <c r="V12" s="87"/>
      <c r="W12" s="59">
        <f>R12</f>
        <v>0</v>
      </c>
    </row>
    <row r="13" spans="1:23" ht="18" customHeight="1" thickBot="1" x14ac:dyDescent="0.35">
      <c r="A13" s="57" t="s">
        <v>97</v>
      </c>
      <c r="B13" s="82">
        <f>IFERROR(SUM('Suivi des Chambres'!AS109:AZ132)/(COUNT('Suivi des Chambres'!$D$109:$D$132)*COLUMNS('Suivi des Chambres'!AS:AZ)),0)</f>
        <v>0</v>
      </c>
      <c r="C13" s="83"/>
      <c r="D13" s="83"/>
      <c r="E13" s="83"/>
      <c r="F13" s="84"/>
      <c r="G13" s="60">
        <f>B13</f>
        <v>0</v>
      </c>
      <c r="I13" s="57" t="s">
        <v>97</v>
      </c>
      <c r="J13" s="82">
        <f>IFERROR(SUM('Suivi des Chambres'!BA109:BC132)/(COUNT('Suivi des Chambres'!$D$109:$D$132)*COLUMNS('Suivi des Chambres'!BA:BC)),0)</f>
        <v>0</v>
      </c>
      <c r="K13" s="83"/>
      <c r="L13" s="83"/>
      <c r="M13" s="83"/>
      <c r="N13" s="84"/>
      <c r="O13" s="60">
        <f>J13</f>
        <v>0</v>
      </c>
      <c r="Q13" s="57" t="s">
        <v>97</v>
      </c>
      <c r="R13" s="82">
        <f>IFERROR(SUM('Suivi des Chambres'!BD109:BD132)/(COUNT('Suivi des Chambres'!$D$109:$D$132)*COLUMNS('Suivi des Chambres'!BD:BD)),0)</f>
        <v>0</v>
      </c>
      <c r="S13" s="83"/>
      <c r="T13" s="83"/>
      <c r="U13" s="83"/>
      <c r="V13" s="84"/>
      <c r="W13" s="60">
        <f>R13</f>
        <v>0</v>
      </c>
    </row>
    <row r="14" spans="1:23" ht="15" thickBot="1" x14ac:dyDescent="0.35"/>
    <row r="15" spans="1:23" ht="24" customHeight="1" x14ac:dyDescent="0.3">
      <c r="A15" s="88" t="s">
        <v>118</v>
      </c>
      <c r="B15" s="89"/>
      <c r="C15" s="89"/>
      <c r="D15" s="89"/>
      <c r="E15" s="89"/>
      <c r="F15" s="89"/>
      <c r="G15" s="90"/>
      <c r="I15" s="88" t="s">
        <v>108</v>
      </c>
      <c r="J15" s="89"/>
      <c r="K15" s="89"/>
      <c r="L15" s="89"/>
      <c r="M15" s="89"/>
      <c r="N15" s="89"/>
      <c r="O15" s="90"/>
      <c r="Q15" s="88" t="s">
        <v>119</v>
      </c>
      <c r="R15" s="89"/>
      <c r="S15" s="89"/>
      <c r="T15" s="89"/>
      <c r="U15" s="89"/>
      <c r="V15" s="89"/>
      <c r="W15" s="90"/>
    </row>
    <row r="16" spans="1:23" ht="18" customHeight="1" x14ac:dyDescent="0.3">
      <c r="A16" s="56" t="s">
        <v>88</v>
      </c>
      <c r="B16" s="85">
        <f>IFERROR(SUM('Suivi des Chambres'!BE5:BH44)/(COUNT('Suivi des Chambres'!$D$5:$D$44)*COLUMNS('Suivi des Chambres'!BE:BH)),0)</f>
        <v>3.7499999999999999E-2</v>
      </c>
      <c r="C16" s="86"/>
      <c r="D16" s="86"/>
      <c r="E16" s="86"/>
      <c r="F16" s="87"/>
      <c r="G16" s="59">
        <f>B16</f>
        <v>3.7499999999999999E-2</v>
      </c>
      <c r="I16" s="56" t="s">
        <v>88</v>
      </c>
      <c r="J16" s="85">
        <f>IFERROR(SUM('Suivi des Chambres'!BI5:BJ44)/(COUNT('Suivi des Chambres'!$D$5:$D$44)*COLUMNS('Suivi des Chambres'!BI:BJ)),0)</f>
        <v>0.05</v>
      </c>
      <c r="K16" s="86"/>
      <c r="L16" s="86"/>
      <c r="M16" s="86"/>
      <c r="N16" s="87"/>
      <c r="O16" s="59">
        <f>J16</f>
        <v>0.05</v>
      </c>
      <c r="Q16" s="56" t="s">
        <v>88</v>
      </c>
      <c r="R16" s="85">
        <f>IFERROR(SUM('Suivi des Chambres'!BK5:BM44)/(COUNT('Suivi des Chambres'!$D$5:$D$44)*COLUMNS('Suivi des Chambres'!BK:BM)),0)</f>
        <v>0</v>
      </c>
      <c r="S16" s="86"/>
      <c r="T16" s="86"/>
      <c r="U16" s="86"/>
      <c r="V16" s="87"/>
      <c r="W16" s="59">
        <f>R16</f>
        <v>0</v>
      </c>
    </row>
    <row r="17" spans="1:23" ht="18" customHeight="1" x14ac:dyDescent="0.3">
      <c r="A17" s="56" t="s">
        <v>95</v>
      </c>
      <c r="B17" s="85">
        <f>IFERROR(SUM('Suivi des Chambres'!BE45:BH84)/(COUNT('Suivi des Chambres'!$D$45:$D$84)*COLUMNS('Suivi des Chambres'!BE:BH)),0)</f>
        <v>0</v>
      </c>
      <c r="C17" s="86"/>
      <c r="D17" s="86"/>
      <c r="E17" s="86"/>
      <c r="F17" s="87"/>
      <c r="G17" s="59">
        <f>B17</f>
        <v>0</v>
      </c>
      <c r="I17" s="56" t="s">
        <v>95</v>
      </c>
      <c r="J17" s="85">
        <f>IFERROR(SUM('Suivi des Chambres'!BI45:BJ84)/(COUNT('Suivi des Chambres'!$D$45:$D$84)*COLUMNS('Suivi des Chambres'!BI:BJ)),0)</f>
        <v>0</v>
      </c>
      <c r="K17" s="86"/>
      <c r="L17" s="86"/>
      <c r="M17" s="86"/>
      <c r="N17" s="87"/>
      <c r="O17" s="59">
        <f>J17</f>
        <v>0</v>
      </c>
      <c r="Q17" s="56" t="s">
        <v>95</v>
      </c>
      <c r="R17" s="85">
        <f>IFERROR(SUM('Suivi des Chambres'!BK45:BM84)/(COUNT('Suivi des Chambres'!$D$45:$D$84)*COLUMNS('Suivi des Chambres'!BK:BM)),0)</f>
        <v>0</v>
      </c>
      <c r="S17" s="86"/>
      <c r="T17" s="86"/>
      <c r="U17" s="86"/>
      <c r="V17" s="87"/>
      <c r="W17" s="59">
        <f>R17</f>
        <v>0</v>
      </c>
    </row>
    <row r="18" spans="1:23" ht="18" customHeight="1" x14ac:dyDescent="0.3">
      <c r="A18" s="56" t="s">
        <v>96</v>
      </c>
      <c r="B18" s="85">
        <f>IFERROR(SUM('Suivi des Chambres'!BE85:BH108)/(COUNT('Suivi des Chambres'!$D$85:$D$108)*COLUMNS('Suivi des Chambres'!BE:BH)),0)</f>
        <v>0</v>
      </c>
      <c r="C18" s="86"/>
      <c r="D18" s="86"/>
      <c r="E18" s="86"/>
      <c r="F18" s="87"/>
      <c r="G18" s="59">
        <f>B18</f>
        <v>0</v>
      </c>
      <c r="I18" s="56" t="s">
        <v>96</v>
      </c>
      <c r="J18" s="85">
        <f>IFERROR(SUM('Suivi des Chambres'!BI85:BJ108)/(COUNT('Suivi des Chambres'!$D$85:$D$108)*COLUMNS('Suivi des Chambres'!BI:BJ)),0)</f>
        <v>0</v>
      </c>
      <c r="K18" s="86"/>
      <c r="L18" s="86"/>
      <c r="M18" s="86"/>
      <c r="N18" s="87"/>
      <c r="O18" s="59">
        <f>J18</f>
        <v>0</v>
      </c>
      <c r="Q18" s="56" t="s">
        <v>96</v>
      </c>
      <c r="R18" s="85">
        <f>IFERROR(SUM('Suivi des Chambres'!BK85:BM108)/(COUNT('Suivi des Chambres'!$D$85:$D$108)*COLUMNS('Suivi des Chambres'!BK:BM)),0)</f>
        <v>0</v>
      </c>
      <c r="S18" s="86"/>
      <c r="T18" s="86"/>
      <c r="U18" s="86"/>
      <c r="V18" s="87"/>
      <c r="W18" s="59">
        <f>R18</f>
        <v>0</v>
      </c>
    </row>
    <row r="19" spans="1:23" ht="18" customHeight="1" thickBot="1" x14ac:dyDescent="0.35">
      <c r="A19" s="57" t="s">
        <v>97</v>
      </c>
      <c r="B19" s="82">
        <f>IFERROR(SUM('Suivi des Chambres'!BE109:BH132)/(COUNT('Suivi des Chambres'!$D$109:$D$132)*COLUMNS('Suivi des Chambres'!BE:BH)),0)</f>
        <v>0</v>
      </c>
      <c r="C19" s="83"/>
      <c r="D19" s="83"/>
      <c r="E19" s="83"/>
      <c r="F19" s="84"/>
      <c r="G19" s="60">
        <f>B19</f>
        <v>0</v>
      </c>
      <c r="I19" s="57" t="s">
        <v>97</v>
      </c>
      <c r="J19" s="82">
        <f>IFERROR(SUM('Suivi des Chambres'!BI109:BJ132)/(COUNT('Suivi des Chambres'!$D$109:$D$132)*COLUMNS('Suivi des Chambres'!BI:BJ)),0)</f>
        <v>0</v>
      </c>
      <c r="K19" s="83"/>
      <c r="L19" s="83"/>
      <c r="M19" s="83"/>
      <c r="N19" s="84"/>
      <c r="O19" s="60">
        <f>J19</f>
        <v>0</v>
      </c>
      <c r="Q19" s="57" t="s">
        <v>97</v>
      </c>
      <c r="R19" s="82">
        <f>IFERROR(SUM('Suivi des Chambres'!BK109:BM132)/(COUNT('Suivi des Chambres'!$D$109:$D$132)*COLUMNS('Suivi des Chambres'!BK:BM)),0)</f>
        <v>0</v>
      </c>
      <c r="S19" s="83"/>
      <c r="T19" s="83"/>
      <c r="U19" s="83"/>
      <c r="V19" s="84"/>
      <c r="W19" s="60">
        <f>R19</f>
        <v>0</v>
      </c>
    </row>
    <row r="20" spans="1:23" ht="15" thickBot="1" x14ac:dyDescent="0.35"/>
    <row r="21" spans="1:23" ht="24" customHeight="1" x14ac:dyDescent="0.3">
      <c r="A21" s="88" t="s">
        <v>120</v>
      </c>
      <c r="B21" s="89"/>
      <c r="C21" s="89"/>
      <c r="D21" s="89"/>
      <c r="E21" s="89"/>
      <c r="F21" s="89"/>
      <c r="G21" s="90"/>
      <c r="I21" s="88" t="s">
        <v>115</v>
      </c>
      <c r="J21" s="89"/>
      <c r="K21" s="89"/>
      <c r="L21" s="89"/>
      <c r="M21" s="89"/>
      <c r="N21" s="89"/>
      <c r="O21" s="90"/>
      <c r="Q21" s="92" t="s">
        <v>121</v>
      </c>
      <c r="R21" s="89"/>
      <c r="S21" s="89"/>
      <c r="T21" s="89"/>
      <c r="U21" s="89"/>
      <c r="V21" s="89"/>
      <c r="W21" s="90"/>
    </row>
    <row r="22" spans="1:23" ht="18" customHeight="1" x14ac:dyDescent="0.3">
      <c r="A22" s="56" t="s">
        <v>88</v>
      </c>
      <c r="B22" s="85">
        <f>IFERROR(SUM('Suivi des Chambres'!BN5:BO44)/(COUNT('Suivi des Chambres'!$D$5:$D$44)*COLUMNS('Suivi des Chambres'!BN:BO)),0)</f>
        <v>0</v>
      </c>
      <c r="C22" s="86"/>
      <c r="D22" s="86"/>
      <c r="E22" s="86"/>
      <c r="F22" s="87"/>
      <c r="G22" s="59">
        <f>B22</f>
        <v>0</v>
      </c>
      <c r="I22" s="56" t="s">
        <v>88</v>
      </c>
      <c r="J22" s="85">
        <f>IFERROR(SUM('Suivi des Chambres'!#REF!)/(COUNT('Suivi des Chambres'!$D$5:$D$44)*COLUMNS('Suivi des Chambres'!#REF!)),0)</f>
        <v>0</v>
      </c>
      <c r="K22" s="86"/>
      <c r="L22" s="86"/>
      <c r="M22" s="86"/>
      <c r="N22" s="87"/>
      <c r="O22" s="59">
        <f>J22</f>
        <v>0</v>
      </c>
      <c r="Q22" s="56" t="s">
        <v>88</v>
      </c>
      <c r="R22" s="85">
        <f>IFERROR(SUM('Suivi des Chambres'!BS5:BT44)/(COUNT('Suivi des Chambres'!$D$5:$D$44)*COLUMNS('Suivi des Chambres'!BS:BT)),0)</f>
        <v>0</v>
      </c>
      <c r="S22" s="86"/>
      <c r="T22" s="86"/>
      <c r="U22" s="86"/>
      <c r="V22" s="87"/>
      <c r="W22" s="59">
        <f>R22</f>
        <v>0</v>
      </c>
    </row>
    <row r="23" spans="1:23" ht="18" customHeight="1" x14ac:dyDescent="0.3">
      <c r="A23" s="56" t="s">
        <v>95</v>
      </c>
      <c r="B23" s="85">
        <f>IFERROR(SUM('Suivi des Chambres'!BN45:BO84)/(COUNT('Suivi des Chambres'!$D$45:$D$84)*COLUMNS('Suivi des Chambres'!BN:BO)),0)</f>
        <v>0</v>
      </c>
      <c r="C23" s="86"/>
      <c r="D23" s="86"/>
      <c r="E23" s="86"/>
      <c r="F23" s="87"/>
      <c r="G23" s="59">
        <f>B23</f>
        <v>0</v>
      </c>
      <c r="I23" s="56" t="s">
        <v>95</v>
      </c>
      <c r="J23" s="85">
        <f>IFERROR(SUM('Suivi des Chambres'!#REF!)/(COUNT('Suivi des Chambres'!$D$45:$D$84)*COLUMNS('Suivi des Chambres'!#REF!)),0)</f>
        <v>0</v>
      </c>
      <c r="K23" s="86"/>
      <c r="L23" s="86"/>
      <c r="M23" s="86"/>
      <c r="N23" s="87"/>
      <c r="O23" s="59">
        <f>J23</f>
        <v>0</v>
      </c>
      <c r="Q23" s="56" t="s">
        <v>95</v>
      </c>
      <c r="R23" s="85">
        <f>IFERROR(SUM('Suivi des Chambres'!BS45:BT84)/(COUNT('Suivi des Chambres'!$D$45:$D$84)*COLUMNS('Suivi des Chambres'!BS:BT)),0)</f>
        <v>0</v>
      </c>
      <c r="S23" s="86"/>
      <c r="T23" s="86"/>
      <c r="U23" s="86"/>
      <c r="V23" s="87"/>
      <c r="W23" s="59">
        <f>R23</f>
        <v>0</v>
      </c>
    </row>
    <row r="24" spans="1:23" ht="18" customHeight="1" x14ac:dyDescent="0.3">
      <c r="A24" s="56" t="s">
        <v>96</v>
      </c>
      <c r="B24" s="85">
        <f>IFERROR(SUM('Suivi des Chambres'!BN85:BO108)/(COUNT('Suivi des Chambres'!$D$85:$D$108)*COLUMNS('Suivi des Chambres'!BN:BO)),0)</f>
        <v>0</v>
      </c>
      <c r="C24" s="86"/>
      <c r="D24" s="86"/>
      <c r="E24" s="86"/>
      <c r="F24" s="87"/>
      <c r="G24" s="59">
        <f>B24</f>
        <v>0</v>
      </c>
      <c r="I24" s="56" t="s">
        <v>96</v>
      </c>
      <c r="J24" s="85">
        <f>IFERROR(SUM('Suivi des Chambres'!#REF!)/(COUNT('Suivi des Chambres'!$D$85:$D$108)*COLUMNS('Suivi des Chambres'!#REF!)),0)</f>
        <v>0</v>
      </c>
      <c r="K24" s="86"/>
      <c r="L24" s="86"/>
      <c r="M24" s="86"/>
      <c r="N24" s="87"/>
      <c r="O24" s="59">
        <f>J24</f>
        <v>0</v>
      </c>
      <c r="Q24" s="56" t="s">
        <v>96</v>
      </c>
      <c r="R24" s="85">
        <f>IFERROR(SUM('Suivi des Chambres'!BS85:BT108)/(COUNT('Suivi des Chambres'!$D$85:$D$108)*COLUMNS('Suivi des Chambres'!BS:BT)),0)</f>
        <v>0</v>
      </c>
      <c r="S24" s="86"/>
      <c r="T24" s="86"/>
      <c r="U24" s="86"/>
      <c r="V24" s="87"/>
      <c r="W24" s="59">
        <f>R24</f>
        <v>0</v>
      </c>
    </row>
    <row r="25" spans="1:23" ht="18" customHeight="1" thickBot="1" x14ac:dyDescent="0.35">
      <c r="A25" s="57" t="s">
        <v>97</v>
      </c>
      <c r="B25" s="82">
        <f>IFERROR(SUM('Suivi des Chambres'!BN109:BO132)/(COUNT('Suivi des Chambres'!$D$109:$D$132)*COLUMNS('Suivi des Chambres'!BN:BO)),0)</f>
        <v>0</v>
      </c>
      <c r="C25" s="83"/>
      <c r="D25" s="83"/>
      <c r="E25" s="83"/>
      <c r="F25" s="84"/>
      <c r="G25" s="60">
        <f>B25</f>
        <v>0</v>
      </c>
      <c r="I25" s="57" t="s">
        <v>97</v>
      </c>
      <c r="J25" s="82">
        <f>IFERROR(SUM('Suivi des Chambres'!#REF!)/(COUNT('Suivi des Chambres'!$D$109:$D$132)*COLUMNS('Suivi des Chambres'!#REF!)),0)</f>
        <v>0</v>
      </c>
      <c r="K25" s="83"/>
      <c r="L25" s="83"/>
      <c r="M25" s="83"/>
      <c r="N25" s="84"/>
      <c r="O25" s="60">
        <f>J25</f>
        <v>0</v>
      </c>
      <c r="Q25" s="57" t="s">
        <v>97</v>
      </c>
      <c r="R25" s="82">
        <f>IFERROR(SUM('Suivi des Chambres'!BS109:BT132)/(COUNT('Suivi des Chambres'!$D$109:$D$132)*COLUMNS('Suivi des Chambres'!BS:BT)),0)</f>
        <v>0</v>
      </c>
      <c r="S25" s="83"/>
      <c r="T25" s="83"/>
      <c r="U25" s="83"/>
      <c r="V25" s="84"/>
      <c r="W25" s="60">
        <f>R25</f>
        <v>0</v>
      </c>
    </row>
    <row r="27" spans="1:23" ht="24" customHeight="1" x14ac:dyDescent="0.3"/>
    <row r="28" spans="1:23" ht="18" customHeight="1" x14ac:dyDescent="0.3"/>
    <row r="29" spans="1:23" ht="18" customHeight="1" x14ac:dyDescent="0.3"/>
    <row r="30" spans="1:23" ht="18" customHeight="1" x14ac:dyDescent="0.3"/>
    <row r="31" spans="1:23" ht="18" customHeight="1" x14ac:dyDescent="0.3"/>
  </sheetData>
  <mergeCells count="61">
    <mergeCell ref="A1:W1"/>
    <mergeCell ref="R4:V4"/>
    <mergeCell ref="J6:N6"/>
    <mergeCell ref="B10:F10"/>
    <mergeCell ref="R6:V6"/>
    <mergeCell ref="B4:F4"/>
    <mergeCell ref="A9:G9"/>
    <mergeCell ref="J5:N5"/>
    <mergeCell ref="I3:O3"/>
    <mergeCell ref="Q9:W9"/>
    <mergeCell ref="J10:N10"/>
    <mergeCell ref="I9:O9"/>
    <mergeCell ref="A3:G3"/>
    <mergeCell ref="Q3:W3"/>
    <mergeCell ref="B7:F7"/>
    <mergeCell ref="J4:N4"/>
    <mergeCell ref="A15:G15"/>
    <mergeCell ref="B12:F12"/>
    <mergeCell ref="R23:V23"/>
    <mergeCell ref="Q15:W15"/>
    <mergeCell ref="B18:F18"/>
    <mergeCell ref="R19:V19"/>
    <mergeCell ref="A21:G21"/>
    <mergeCell ref="R12:V12"/>
    <mergeCell ref="R10:V10"/>
    <mergeCell ref="B6:F6"/>
    <mergeCell ref="B13:F13"/>
    <mergeCell ref="B5:F5"/>
    <mergeCell ref="R5:V5"/>
    <mergeCell ref="J7:N7"/>
    <mergeCell ref="R7:V7"/>
    <mergeCell ref="J11:N11"/>
    <mergeCell ref="B11:F11"/>
    <mergeCell ref="J12:N12"/>
    <mergeCell ref="J13:N13"/>
    <mergeCell ref="R11:V11"/>
    <mergeCell ref="R25:V25"/>
    <mergeCell ref="R13:V13"/>
    <mergeCell ref="J17:N17"/>
    <mergeCell ref="R17:V17"/>
    <mergeCell ref="Q21:W21"/>
    <mergeCell ref="R24:V24"/>
    <mergeCell ref="R16:V16"/>
    <mergeCell ref="J19:N19"/>
    <mergeCell ref="J18:N18"/>
    <mergeCell ref="J25:N25"/>
    <mergeCell ref="R18:V18"/>
    <mergeCell ref="J22:N22"/>
    <mergeCell ref="J23:N23"/>
    <mergeCell ref="R22:V22"/>
    <mergeCell ref="I15:O15"/>
    <mergeCell ref="J24:N24"/>
    <mergeCell ref="B25:F25"/>
    <mergeCell ref="B19:F19"/>
    <mergeCell ref="B24:F24"/>
    <mergeCell ref="J16:N16"/>
    <mergeCell ref="I21:O21"/>
    <mergeCell ref="B16:F16"/>
    <mergeCell ref="B23:F23"/>
    <mergeCell ref="B22:F22"/>
    <mergeCell ref="B17:F17"/>
  </mergeCells>
  <conditionalFormatting sqref="B4:B7">
    <cfRule type="dataBar" priority="1">
      <dataBar showValue="0">
        <cfvo type="num" val="0"/>
        <cfvo type="num" val="1"/>
        <color rgb="FF5B9BD5"/>
      </dataBar>
    </cfRule>
  </conditionalFormatting>
  <conditionalFormatting sqref="B10:B13">
    <cfRule type="dataBar" priority="4">
      <dataBar showValue="0">
        <cfvo type="num" val="0"/>
        <cfvo type="num" val="1"/>
        <color rgb="FF5B9BD5"/>
      </dataBar>
    </cfRule>
  </conditionalFormatting>
  <conditionalFormatting sqref="B16:B19">
    <cfRule type="dataBar" priority="7">
      <dataBar showValue="0">
        <cfvo type="num" val="0"/>
        <cfvo type="num" val="1"/>
        <color rgb="FF5B9BD5"/>
      </dataBar>
    </cfRule>
  </conditionalFormatting>
  <conditionalFormatting sqref="B22:B25">
    <cfRule type="dataBar" priority="10">
      <dataBar showValue="0">
        <cfvo type="num" val="0"/>
        <cfvo type="num" val="1"/>
        <color rgb="FF5B9BD5"/>
      </dataBar>
    </cfRule>
  </conditionalFormatting>
  <conditionalFormatting sqref="J4:J7">
    <cfRule type="dataBar" priority="2">
      <dataBar showValue="0">
        <cfvo type="num" val="0"/>
        <cfvo type="num" val="1"/>
        <color rgb="FF5B9BD5"/>
      </dataBar>
    </cfRule>
  </conditionalFormatting>
  <conditionalFormatting sqref="J10:J13">
    <cfRule type="dataBar" priority="5">
      <dataBar showValue="0">
        <cfvo type="num" val="0"/>
        <cfvo type="num" val="1"/>
        <color rgb="FF5B9BD5"/>
      </dataBar>
    </cfRule>
  </conditionalFormatting>
  <conditionalFormatting sqref="J16:J19">
    <cfRule type="dataBar" priority="8">
      <dataBar showValue="0">
        <cfvo type="num" val="0"/>
        <cfvo type="num" val="1"/>
        <color rgb="FF5B9BD5"/>
      </dataBar>
    </cfRule>
  </conditionalFormatting>
  <conditionalFormatting sqref="J22:J25">
    <cfRule type="dataBar" priority="12">
      <dataBar showValue="0">
        <cfvo type="num" val="0"/>
        <cfvo type="num" val="1"/>
        <color rgb="FF5B9BD5"/>
      </dataBar>
    </cfRule>
  </conditionalFormatting>
  <conditionalFormatting sqref="R4:R7">
    <cfRule type="dataBar" priority="3">
      <dataBar showValue="0">
        <cfvo type="num" val="0"/>
        <cfvo type="num" val="1"/>
        <color rgb="FF5B9BD5"/>
      </dataBar>
    </cfRule>
  </conditionalFormatting>
  <conditionalFormatting sqref="R10:R13">
    <cfRule type="dataBar" priority="6">
      <dataBar showValue="0">
        <cfvo type="num" val="0"/>
        <cfvo type="num" val="1"/>
        <color rgb="FF5B9BD5"/>
      </dataBar>
    </cfRule>
  </conditionalFormatting>
  <conditionalFormatting sqref="R16:R19">
    <cfRule type="dataBar" priority="9">
      <dataBar showValue="0">
        <cfvo type="num" val="0"/>
        <cfvo type="num" val="1"/>
        <color rgb="FF5B9BD5"/>
      </dataBar>
    </cfRule>
  </conditionalFormatting>
  <conditionalFormatting sqref="R22:R25">
    <cfRule type="dataBar" priority="13">
      <dataBar showValue="0">
        <cfvo type="num" val="0"/>
        <cfvo type="num" val="1"/>
        <color rgb="FF5B9BD5"/>
      </dataBar>
    </cfRule>
  </conditionalFormatting>
  <pageMargins left="0.75" right="0.75" top="1" bottom="1" header="0.5" footer="0.5"/>
  <pageSetup paperSize="9" scale="4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3</vt:i4>
      </vt:variant>
    </vt:vector>
  </HeadingPairs>
  <TitlesOfParts>
    <vt:vector size="7" baseType="lpstr">
      <vt:lpstr>Bloc details</vt:lpstr>
      <vt:lpstr>Suivi des Chambres</vt:lpstr>
      <vt:lpstr>Graphes SDB</vt:lpstr>
      <vt:lpstr>Graphes Chambre</vt:lpstr>
      <vt:lpstr>'Bloc details'!Zone_d_impression</vt:lpstr>
      <vt:lpstr>'Graphes Chambre'!Zone_d_impression</vt:lpstr>
      <vt:lpstr>'Graphes SDB'!Zone_d_impression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Yassine MERINI</cp:lastModifiedBy>
  <dcterms:created xsi:type="dcterms:W3CDTF">2026-09-23T20:50:11Z</dcterms:created>
  <dcterms:modified xsi:type="dcterms:W3CDTF">2026-09-26T12:26:14Z</dcterms:modified>
</cp:coreProperties>
</file>